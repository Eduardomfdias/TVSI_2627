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063bbcbfa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bf404b3354a400b"/>
    <x:sheet xmlns:r="http://schemas.openxmlformats.org/officeDocument/2006/relationships" name="Executions" sheetId="2" r:id="R0e2dc747908c44dc"/>
    <x:sheet xmlns:r="http://schemas.openxmlformats.org/officeDocument/2006/relationships" name="Defects" sheetId="3" r:id="R70d4a06392764f6b"/>
    <x:sheet xmlns:r="http://schemas.openxmlformats.org/officeDocument/2006/relationships" name="Static Review" sheetId="4" r:id="Rcecf4e77de574707"/>
    <x:sheet xmlns:r="http://schemas.openxmlformats.org/officeDocument/2006/relationships" name="Coverage" sheetId="5" r:id="Rbce88eea59a24be5"/>
    <x:sheet xmlns:r="http://schemas.openxmlformats.org/officeDocument/2006/relationships" name="Technique" sheetId="6" r:id="Ra265439c7073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649"/>
      <x:name val="Arial"/>
    </x:font>
    <x:font>
      <x:b/>
      <x:sz val="16"/>
      <x:color rgb="FF203649"/>
      <x:name val="Arial"/>
    </x:font>
    <x:font>
      <x:sz val="10"/>
      <x:color rgb="FF2036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4B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D3218"/>
      </x:font>
      <x:fill>
        <x:patternFill patternType="solid"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0b83c3df94cfa" /><Relationship Type="http://schemas.openxmlformats.org/officeDocument/2006/relationships/theme" Target="/xl/theme/theme1.xml" Id="R4c77ed99b88e4a51" /><Relationship Type="http://schemas.openxmlformats.org/officeDocument/2006/relationships/sharedStrings" Target="/xl/sharedStrings.xml" Id="Re0f9fb6baa9542e1" /><Relationship Type="http://schemas.openxmlformats.org/officeDocument/2006/relationships/worksheet" Target="/xl/worksheets/sheet1.xml" Id="Rabf404b3354a400b" /><Relationship Type="http://schemas.openxmlformats.org/officeDocument/2006/relationships/worksheet" Target="/xl/worksheets/sheet2.xml" Id="R0e2dc747908c44dc" /><Relationship Type="http://schemas.openxmlformats.org/officeDocument/2006/relationships/worksheet" Target="/xl/worksheets/sheet3.xml" Id="R70d4a06392764f6b" /><Relationship Type="http://schemas.openxmlformats.org/officeDocument/2006/relationships/worksheet" Target="/xl/worksheets/sheet4.xml" Id="Rcecf4e77de574707" /><Relationship Type="http://schemas.openxmlformats.org/officeDocument/2006/relationships/worksheet" Target="/xl/worksheets/sheet5.xml" Id="Rbce88eea59a24be5" /><Relationship Type="http://schemas.openxmlformats.org/officeDocument/2006/relationships/worksheet" Target="/xl/worksheets/sheet6.xml" Id="Ra265439c707348f9" /></Relationships>
</file>

<file path=xl/tables/table1.xml><?xml version="1.0" encoding="utf-8"?>
<x:table xmlns:x="http://schemas.openxmlformats.org/spreadsheetml/2006/main" id="1" name="TestCasesTable" displayName="TestCasesTable" ref="A4:I84" headerRowCount="1" totalsRowCount="0" totalsRowShown="0">
  <x:tableColumns count="9">
    <x:tableColumn id="1" name="Test ID"/>
    <x:tableColumn id="2" name="Technique"/>
    <x:tableColumn id="3" name="Rules / objective"/>
    <x:tableColumn id="4" name="Setup / preconditions"/>
    <x:tableColumn id="5" name="Exact inputs"/>
    <x:tableColumn id="6" name="Action steps"/>
    <x:tableColumn id="7" name="Expected outputs"/>
    <x:tableColumn id="8" name="Expected side effects"/>
    <x:tableColumn id="9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sTable" displayName="ExecutionsTable" ref="A4:I84" headerRowCount="1" totalsRowCount="0" totalsRowShown="0">
  <x:tableColumns count="9">
    <x:tableColumn id="1" name="Run ID"/>
    <x:tableColumn id="2" name="Test ID"/>
    <x:tableColumn id="3" name="Date / environment"/>
    <x:tableColumn id="4" name="Actual outputs"/>
    <x:tableColumn id="5" name="Actual side effects"/>
    <x:tableColumn id="6" name="Tester / notes"/>
    <x:tableColumn id="7" name="Verdict"/>
    <x:tableColumn id="8" name="Evidence"/>
    <x:tableColumn id="9" name="Defect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sTable" displayName="DefectsTable" ref="A4:I44" headerRowCount="1" totalsRowCount="0" totalsRowShown="0">
  <x:tableColumns count="9">
    <x:tableColumn id="1" name="Defect ID"/>
    <x:tableColumn id="2" name="Title / tests"/>
    <x:tableColumn id="3" name="Rule / build / environment"/>
    <x:tableColumn id="4" name="Exact reproduction"/>
    <x:tableColumn id="5" name="Expected"/>
    <x:tableColumn id="6" name="Actual"/>
    <x:tableColumn id="7" name="Evidence"/>
    <x:tableColumn id="8" name="Severity / rationale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icReviewTable" displayName="StaticReviewTable" ref="A4:F34" headerRowCount="1" totalsRowCount="0" totalsRowShown="0">
  <x:tableColumns count="6">
    <x:tableColumn id="1" name="Review ID"/>
    <x:tableColumn id="2" name="Rule"/>
    <x:tableColumn id="3" name="Observation / question"/>
    <x:tableColumn id="4" name="Impact / rationale"/>
    <x:tableColumn id="5" name="Suggested clarification"/>
    <x:tableColumn id="6" name="Outcome /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chniqueTable" displayName="TechniqueTable" ref="A4:H44" headerRowCount="1" totalsRowCount="0" totalsRowShown="0">
  <x:tableColumns count="8">
    <x:tableColumn id="1" name="Candidate ID / origin"/>
    <x:tableColumn id="2" name="Rule / boundary"/>
    <x:tableColumn id="3" name="Original expectation"/>
    <x:tableColumn id="4" name="Independent oracle"/>
    <x:tableColumn id="5" name="Accept / revise / reject"/>
    <x:tableColumn id="6" name="Reason / duplicate"/>
    <x:tableColumn id="7" name="Final test IDs"/>
    <x:tableColumn id="8" name="Comparison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c27faca5a247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83494c07f14e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dab06f7d4940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a1297cc92a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e5c942a53840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5" hidden="0" customWidth="1"/>
    <x:col min="4" max="4" width="42" hidden="0" customWidth="1"/>
    <x:col min="5" max="5" width="45" hidden="0" customWidth="1"/>
    <x:col min="6" max="6" width="42" hidden="0" customWidth="1"/>
    <x:col min="7" max="7" width="45" hidden="0" customWidth="1"/>
    <x:col min="8" max="8" width="38" hidden="0" customWidth="1"/>
    <x:col min="9" max="9" width="16" hidden="0" customWidth="1"/>
  </x:cols>
  <x:sheetData>
    <x:row r="1">
      <x:c r="A1" s="2" t="str">
        <x:v>Test Cases — T08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Derive expected results from BusinessRules BEFORE execution. One scenario per row.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5" customHeight="1">
      <x:c r="A4" s="7" t="str">
        <x:v>Test ID</x:v>
      </x:c>
      <x:c r="B4" s="7" t="str">
        <x:v>Technique</x:v>
      </x:c>
      <x:c r="C4" s="7" t="str">
        <x:v>Rules / objective</x:v>
      </x:c>
      <x:c r="D4" s="7" t="str">
        <x:v>Setup / preconditions</x:v>
      </x:c>
      <x:c r="E4" s="7" t="str">
        <x:v>Exact inputs</x:v>
      </x:c>
      <x:c r="F4" s="7" t="str">
        <x:v>Action steps</x:v>
      </x:c>
      <x:c r="G4" s="7" t="str">
        <x:v>Expected outputs</x:v>
      </x:c>
      <x:c r="H4" s="7" t="str">
        <x:v>Expected side effects</x:v>
      </x:c>
      <x:c r="I4" s="7" t="str">
        <x:v>Priority</x:v>
      </x:c>
    </x:row>
    <x:row r="5" ht="60" customHeight="1">
      <x:c r="A5" s="10"/>
      <x:c r="B5" s="10"/>
      <x:c r="C5" s="10"/>
      <x:c r="D5" s="10"/>
      <x:c r="E5" s="10"/>
      <x:c r="F5" s="10"/>
      <x:c r="G5" s="10"/>
      <x:c r="H5" s="10"/>
      <x:c r="I5" s="10"/>
    </x:row>
    <x:row r="6" ht="60" customHeight="1">
      <x:c r="A6" s="10"/>
      <x:c r="B6" s="10"/>
      <x:c r="C6" s="10"/>
      <x:c r="D6" s="10"/>
      <x:c r="E6" s="10"/>
      <x:c r="F6" s="10"/>
      <x:c r="G6" s="10"/>
      <x:c r="H6" s="10"/>
      <x:c r="I6" s="10"/>
    </x:row>
    <x:row r="7" ht="60" customHeight="1">
      <x:c r="A7" s="10"/>
      <x:c r="B7" s="10"/>
      <x:c r="C7" s="10"/>
      <x:c r="D7" s="10"/>
      <x:c r="E7" s="10"/>
      <x:c r="F7" s="10"/>
      <x:c r="G7" s="10"/>
      <x:c r="H7" s="10"/>
      <x:c r="I7" s="10"/>
    </x:row>
    <x:row r="8" ht="60" customHeight="1">
      <x:c r="A8" s="10"/>
      <x:c r="B8" s="10"/>
      <x:c r="C8" s="10"/>
      <x:c r="D8" s="10"/>
      <x:c r="E8" s="10"/>
      <x:c r="F8" s="10"/>
      <x:c r="G8" s="10"/>
      <x:c r="H8" s="10"/>
      <x:c r="I8" s="10"/>
    </x:row>
    <x:row r="9" ht="60" customHeight="1">
      <x:c r="A9" s="10"/>
      <x:c r="B9" s="10"/>
      <x:c r="C9" s="10"/>
      <x:c r="D9" s="10"/>
      <x:c r="E9" s="10"/>
      <x:c r="F9" s="10"/>
      <x:c r="G9" s="10"/>
      <x:c r="H9" s="10"/>
      <x:c r="I9" s="10"/>
    </x:row>
    <x:row r="10" ht="60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60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60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60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60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60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60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60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60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60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60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60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60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60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60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60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60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60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60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60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60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 ht="60" customHeight="1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 ht="60" customHeight="1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 ht="60" customHeight="1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 ht="60" customHeight="1">
      <x:c r="A48" s="10"/>
      <x:c r="B48" s="10"/>
      <x:c r="C48" s="10"/>
      <x:c r="D48" s="10"/>
      <x:c r="E48" s="10"/>
      <x:c r="F48" s="10"/>
      <x:c r="G48" s="10"/>
      <x:c r="H48" s="10"/>
      <x:c r="I48" s="10"/>
    </x:row>
    <x:row r="49" ht="60" customHeight="1">
      <x:c r="A49" s="10"/>
      <x:c r="B49" s="10"/>
      <x:c r="C49" s="10"/>
      <x:c r="D49" s="10"/>
      <x:c r="E49" s="10"/>
      <x:c r="F49" s="10"/>
      <x:c r="G49" s="10"/>
      <x:c r="H49" s="10"/>
      <x:c r="I49" s="10"/>
    </x:row>
    <x:row r="50" ht="60" customHeight="1">
      <x:c r="A50" s="10"/>
      <x:c r="B50" s="10"/>
      <x:c r="C50" s="10"/>
      <x:c r="D50" s="10"/>
      <x:c r="E50" s="10"/>
      <x:c r="F50" s="10"/>
      <x:c r="G50" s="10"/>
      <x:c r="H50" s="10"/>
      <x:c r="I50" s="10"/>
    </x:row>
    <x:row r="51" ht="60" customHeight="1">
      <x:c r="A51" s="10"/>
      <x:c r="B51" s="10"/>
      <x:c r="C51" s="10"/>
      <x:c r="D51" s="10"/>
      <x:c r="E51" s="10"/>
      <x:c r="F51" s="10"/>
      <x:c r="G51" s="10"/>
      <x:c r="H51" s="10"/>
      <x:c r="I51" s="10"/>
    </x:row>
    <x:row r="52" ht="60" customHeight="1">
      <x:c r="A52" s="10"/>
      <x:c r="B52" s="10"/>
      <x:c r="C52" s="10"/>
      <x:c r="D52" s="10"/>
      <x:c r="E52" s="10"/>
      <x:c r="F52" s="10"/>
      <x:c r="G52" s="10"/>
      <x:c r="H52" s="10"/>
      <x:c r="I52" s="10"/>
    </x:row>
    <x:row r="53" ht="60" customHeight="1">
      <x:c r="A53" s="10"/>
      <x:c r="B53" s="10"/>
      <x:c r="C53" s="10"/>
      <x:c r="D53" s="10"/>
      <x:c r="E53" s="10"/>
      <x:c r="F53" s="10"/>
      <x:c r="G53" s="10"/>
      <x:c r="H53" s="10"/>
      <x:c r="I53" s="10"/>
    </x:row>
    <x:row r="54" ht="60" customHeight="1">
      <x:c r="A54" s="10"/>
      <x:c r="B54" s="10"/>
      <x:c r="C54" s="10"/>
      <x:c r="D54" s="10"/>
      <x:c r="E54" s="10"/>
      <x:c r="F54" s="10"/>
      <x:c r="G54" s="10"/>
      <x:c r="H54" s="10"/>
      <x:c r="I54" s="10"/>
    </x:row>
    <x:row r="55" ht="60" customHeight="1">
      <x:c r="A55" s="10"/>
      <x:c r="B55" s="10"/>
      <x:c r="C55" s="10"/>
      <x:c r="D55" s="10"/>
      <x:c r="E55" s="10"/>
      <x:c r="F55" s="10"/>
      <x:c r="G55" s="10"/>
      <x:c r="H55" s="10"/>
      <x:c r="I55" s="10"/>
    </x:row>
    <x:row r="56" ht="60" customHeight="1">
      <x:c r="A56" s="10"/>
      <x:c r="B56" s="10"/>
      <x:c r="C56" s="10"/>
      <x:c r="D56" s="10"/>
      <x:c r="E56" s="10"/>
      <x:c r="F56" s="10"/>
      <x:c r="G56" s="10"/>
      <x:c r="H56" s="10"/>
      <x:c r="I56" s="10"/>
    </x:row>
    <x:row r="57" ht="60" customHeight="1">
      <x:c r="A57" s="10"/>
      <x:c r="B57" s="10"/>
      <x:c r="C57" s="10"/>
      <x:c r="D57" s="10"/>
      <x:c r="E57" s="10"/>
      <x:c r="F57" s="10"/>
      <x:c r="G57" s="10"/>
      <x:c r="H57" s="10"/>
      <x:c r="I57" s="10"/>
    </x:row>
    <x:row r="58" ht="60" customHeight="1">
      <x:c r="A58" s="10"/>
      <x:c r="B58" s="10"/>
      <x:c r="C58" s="10"/>
      <x:c r="D58" s="10"/>
      <x:c r="E58" s="10"/>
      <x:c r="F58" s="10"/>
      <x:c r="G58" s="10"/>
      <x:c r="H58" s="10"/>
      <x:c r="I58" s="10"/>
    </x:row>
    <x:row r="59" ht="60" customHeight="1">
      <x:c r="A59" s="10"/>
      <x:c r="B59" s="10"/>
      <x:c r="C59" s="10"/>
      <x:c r="D59" s="10"/>
      <x:c r="E59" s="10"/>
      <x:c r="F59" s="10"/>
      <x:c r="G59" s="10"/>
      <x:c r="H59" s="10"/>
      <x:c r="I59" s="10"/>
    </x:row>
    <x:row r="60" ht="60" customHeight="1">
      <x:c r="A60" s="10"/>
      <x:c r="B60" s="10"/>
      <x:c r="C60" s="10"/>
      <x:c r="D60" s="10"/>
      <x:c r="E60" s="10"/>
      <x:c r="F60" s="10"/>
      <x:c r="G60" s="10"/>
      <x:c r="H60" s="10"/>
      <x:c r="I60" s="10"/>
    </x:row>
    <x:row r="61" ht="60" customHeight="1">
      <x:c r="A61" s="10"/>
      <x:c r="B61" s="10"/>
      <x:c r="C61" s="10"/>
      <x:c r="D61" s="10"/>
      <x:c r="E61" s="10"/>
      <x:c r="F61" s="10"/>
      <x:c r="G61" s="10"/>
      <x:c r="H61" s="10"/>
      <x:c r="I61" s="10"/>
    </x:row>
    <x:row r="62" ht="60" customHeight="1">
      <x:c r="A62" s="10"/>
      <x:c r="B62" s="10"/>
      <x:c r="C62" s="10"/>
      <x:c r="D62" s="10"/>
      <x:c r="E62" s="10"/>
      <x:c r="F62" s="10"/>
      <x:c r="G62" s="10"/>
      <x:c r="H62" s="10"/>
      <x:c r="I62" s="10"/>
    </x:row>
    <x:row r="63" ht="60" customHeight="1">
      <x:c r="A63" s="10"/>
      <x:c r="B63" s="10"/>
      <x:c r="C63" s="10"/>
      <x:c r="D63" s="10"/>
      <x:c r="E63" s="10"/>
      <x:c r="F63" s="10"/>
      <x:c r="G63" s="10"/>
      <x:c r="H63" s="10"/>
      <x:c r="I63" s="10"/>
    </x:row>
    <x:row r="64" ht="60" customHeight="1">
      <x:c r="A64" s="10"/>
      <x:c r="B64" s="10"/>
      <x:c r="C64" s="10"/>
      <x:c r="D64" s="10"/>
      <x:c r="E64" s="10"/>
      <x:c r="F64" s="10"/>
      <x:c r="G64" s="10"/>
      <x:c r="H64" s="10"/>
      <x:c r="I64" s="10"/>
    </x:row>
    <x:row r="65" ht="60" customHeight="1">
      <x:c r="A65" s="10"/>
      <x:c r="B65" s="10"/>
      <x:c r="C65" s="10"/>
      <x:c r="D65" s="10"/>
      <x:c r="E65" s="10"/>
      <x:c r="F65" s="10"/>
      <x:c r="G65" s="10"/>
      <x:c r="H65" s="10"/>
      <x:c r="I65" s="10"/>
    </x:row>
    <x:row r="66" ht="60" customHeight="1">
      <x:c r="A66" s="10"/>
      <x:c r="B66" s="10"/>
      <x:c r="C66" s="10"/>
      <x:c r="D66" s="10"/>
      <x:c r="E66" s="10"/>
      <x:c r="F66" s="10"/>
      <x:c r="G66" s="10"/>
      <x:c r="H66" s="10"/>
      <x:c r="I66" s="10"/>
    </x:row>
    <x:row r="67" ht="60" customHeight="1">
      <x:c r="A67" s="10"/>
      <x:c r="B67" s="10"/>
      <x:c r="C67" s="10"/>
      <x:c r="D67" s="10"/>
      <x:c r="E67" s="10"/>
      <x:c r="F67" s="10"/>
      <x:c r="G67" s="10"/>
      <x:c r="H67" s="10"/>
      <x:c r="I67" s="10"/>
    </x:row>
    <x:row r="68" ht="60" customHeight="1">
      <x:c r="A68" s="10"/>
      <x:c r="B68" s="10"/>
      <x:c r="C68" s="10"/>
      <x:c r="D68" s="10"/>
      <x:c r="E68" s="10"/>
      <x:c r="F68" s="10"/>
      <x:c r="G68" s="10"/>
      <x:c r="H68" s="10"/>
      <x:c r="I68" s="10"/>
    </x:row>
    <x:row r="69" ht="60" customHeight="1">
      <x:c r="A69" s="10"/>
      <x:c r="B69" s="10"/>
      <x:c r="C69" s="10"/>
      <x:c r="D69" s="10"/>
      <x:c r="E69" s="10"/>
      <x:c r="F69" s="10"/>
      <x:c r="G69" s="10"/>
      <x:c r="H69" s="10"/>
      <x:c r="I69" s="10"/>
    </x:row>
    <x:row r="70" ht="60" customHeight="1">
      <x:c r="A70" s="10"/>
      <x:c r="B70" s="10"/>
      <x:c r="C70" s="10"/>
      <x:c r="D70" s="10"/>
      <x:c r="E70" s="10"/>
      <x:c r="F70" s="10"/>
      <x:c r="G70" s="10"/>
      <x:c r="H70" s="10"/>
      <x:c r="I70" s="10"/>
    </x:row>
    <x:row r="71" ht="60" customHeight="1">
      <x:c r="A71" s="10"/>
      <x:c r="B71" s="10"/>
      <x:c r="C71" s="10"/>
      <x:c r="D71" s="10"/>
      <x:c r="E71" s="10"/>
      <x:c r="F71" s="10"/>
      <x:c r="G71" s="10"/>
      <x:c r="H71" s="10"/>
      <x:c r="I71" s="10"/>
    </x:row>
    <x:row r="72" ht="60" customHeight="1">
      <x:c r="A72" s="10"/>
      <x:c r="B72" s="10"/>
      <x:c r="C72" s="10"/>
      <x:c r="D72" s="10"/>
      <x:c r="E72" s="10"/>
      <x:c r="F72" s="10"/>
      <x:c r="G72" s="10"/>
      <x:c r="H72" s="10"/>
      <x:c r="I72" s="10"/>
    </x:row>
    <x:row r="73" ht="60" customHeight="1">
      <x:c r="A73" s="10"/>
      <x:c r="B73" s="10"/>
      <x:c r="C73" s="10"/>
      <x:c r="D73" s="10"/>
      <x:c r="E73" s="10"/>
      <x:c r="F73" s="10"/>
      <x:c r="G73" s="10"/>
      <x:c r="H73" s="10"/>
      <x:c r="I73" s="10"/>
    </x:row>
    <x:row r="74" ht="60" customHeight="1">
      <x:c r="A74" s="10"/>
      <x:c r="B74" s="10"/>
      <x:c r="C74" s="10"/>
      <x:c r="D74" s="10"/>
      <x:c r="E74" s="10"/>
      <x:c r="F74" s="10"/>
      <x:c r="G74" s="10"/>
      <x:c r="H74" s="10"/>
      <x:c r="I74" s="10"/>
    </x:row>
    <x:row r="75" ht="60" customHeight="1">
      <x:c r="A75" s="10"/>
      <x:c r="B75" s="10"/>
      <x:c r="C75" s="10"/>
      <x:c r="D75" s="10"/>
      <x:c r="E75" s="10"/>
      <x:c r="F75" s="10"/>
      <x:c r="G75" s="10"/>
      <x:c r="H75" s="10"/>
      <x:c r="I75" s="10"/>
    </x:row>
    <x:row r="76" ht="60" customHeight="1">
      <x:c r="A76" s="10"/>
      <x:c r="B76" s="10"/>
      <x:c r="C76" s="10"/>
      <x:c r="D76" s="10"/>
      <x:c r="E76" s="10"/>
      <x:c r="F76" s="10"/>
      <x:c r="G76" s="10"/>
      <x:c r="H76" s="10"/>
      <x:c r="I76" s="10"/>
    </x:row>
    <x:row r="77" ht="60" customHeight="1">
      <x:c r="A77" s="10"/>
      <x:c r="B77" s="10"/>
      <x:c r="C77" s="10"/>
      <x:c r="D77" s="10"/>
      <x:c r="E77" s="10"/>
      <x:c r="F77" s="10"/>
      <x:c r="G77" s="10"/>
      <x:c r="H77" s="10"/>
      <x:c r="I77" s="10"/>
    </x:row>
    <x:row r="78" ht="60" customHeight="1">
      <x:c r="A78" s="10"/>
      <x:c r="B78" s="10"/>
      <x:c r="C78" s="10"/>
      <x:c r="D78" s="10"/>
      <x:c r="E78" s="10"/>
      <x:c r="F78" s="10"/>
      <x:c r="G78" s="10"/>
      <x:c r="H78" s="10"/>
      <x:c r="I78" s="10"/>
    </x:row>
    <x:row r="79" ht="60" customHeight="1">
      <x:c r="A79" s="10"/>
      <x:c r="B79" s="10"/>
      <x:c r="C79" s="10"/>
      <x:c r="D79" s="10"/>
      <x:c r="E79" s="10"/>
      <x:c r="F79" s="10"/>
      <x:c r="G79" s="10"/>
      <x:c r="H79" s="10"/>
      <x:c r="I79" s="10"/>
    </x:row>
    <x:row r="80" ht="60" customHeight="1">
      <x:c r="A80" s="10"/>
      <x:c r="B80" s="10"/>
      <x:c r="C80" s="10"/>
      <x:c r="D80" s="10"/>
      <x:c r="E80" s="10"/>
      <x:c r="F80" s="10"/>
      <x:c r="G80" s="10"/>
      <x:c r="H80" s="10"/>
      <x:c r="I80" s="10"/>
    </x:row>
    <x:row r="81" ht="60" customHeight="1">
      <x:c r="A81" s="10"/>
      <x:c r="B81" s="10"/>
      <x:c r="C81" s="10"/>
      <x:c r="D81" s="10"/>
      <x:c r="E81" s="10"/>
      <x:c r="F81" s="10"/>
      <x:c r="G81" s="10"/>
      <x:c r="H81" s="10"/>
      <x:c r="I81" s="10"/>
    </x:row>
    <x:row r="82" ht="60" customHeight="1">
      <x:c r="A82" s="10"/>
      <x:c r="B82" s="10"/>
      <x:c r="C82" s="10"/>
      <x:c r="D82" s="10"/>
      <x:c r="E82" s="10"/>
      <x:c r="F82" s="10"/>
      <x:c r="G82" s="10"/>
      <x:c r="H82" s="10"/>
      <x:c r="I82" s="10"/>
    </x:row>
    <x:row r="83" ht="60" customHeight="1">
      <x:c r="A83" s="10"/>
      <x:c r="B83" s="10"/>
      <x:c r="C83" s="10"/>
      <x:c r="D83" s="10"/>
      <x:c r="E83" s="10"/>
      <x:c r="F83" s="10"/>
      <x:c r="G83" s="10"/>
      <x:c r="H83" s="10"/>
      <x:c r="I83" s="10"/>
    </x:row>
    <x:row r="84" ht="60" customHeight="1">
      <x:c r="A84" s="10"/>
      <x:c r="B84" s="10"/>
      <x:c r="C84" s="10"/>
      <x:c r="D84" s="10"/>
      <x:c r="E84" s="10"/>
      <x:c r="F84" s="10"/>
      <x:c r="G84" s="10"/>
      <x:c r="H84" s="10"/>
      <x:c r="I84" s="10"/>
    </x:row>
  </x:sheetData>
  <x:dataValidations count="1">
    <x:dataValidation type="list" sqref="I5:I8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27faca5a2472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46" hidden="0" customWidth="1"/>
    <x:col min="5" max="5" width="40" hidden="0" customWidth="1"/>
    <x:col min="6" max="6" width="32" hidden="0" customWidth="1"/>
    <x:col min="7" max="7" width="18" hidden="0" customWidth="1"/>
    <x:col min="8" max="8" width="38" hidden="0" customWidth="1"/>
    <x:col min="9" max="9" width="20" hidden="0" customWidth="1"/>
  </x:cols>
  <x:sheetData>
    <x:row r="1">
      <x:c r="A1" s="2" t="str">
        <x:v>Executions — T08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Manual verdict: compare ALL expected outcomes. Preserve prior runs; BLOCKED is not PASS.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5" customHeight="1">
      <x:c r="A4" s="7" t="str">
        <x:v>Run ID</x:v>
      </x:c>
      <x:c r="B4" s="7" t="str">
        <x:v>Test ID</x:v>
      </x:c>
      <x:c r="C4" s="7" t="str">
        <x:v>Date / environment</x:v>
      </x:c>
      <x:c r="D4" s="7" t="str">
        <x:v>Actual outputs</x:v>
      </x:c>
      <x:c r="E4" s="7" t="str">
        <x:v>Actual side effects</x:v>
      </x:c>
      <x:c r="F4" s="7" t="str">
        <x:v>Tester / notes</x:v>
      </x:c>
      <x:c r="G4" s="7" t="str">
        <x:v>Verdict</x:v>
      </x:c>
      <x:c r="H4" s="7" t="str">
        <x:v>Evidence</x:v>
      </x:c>
      <x:c r="I4" s="7" t="str">
        <x:v>Defect IDs</x:v>
      </x:c>
    </x:row>
    <x:row r="5" ht="60" customHeight="1">
      <x:c r="A5" s="10"/>
      <x:c r="B5" s="10"/>
      <x:c r="C5" s="10"/>
      <x:c r="D5" s="10"/>
      <x:c r="E5" s="10"/>
      <x:c r="F5" s="10"/>
      <x:c r="G5" s="10"/>
      <x:c r="H5" s="10"/>
      <x:c r="I5" s="10"/>
    </x:row>
    <x:row r="6" ht="60" customHeight="1">
      <x:c r="A6" s="10"/>
      <x:c r="B6" s="10"/>
      <x:c r="C6" s="10"/>
      <x:c r="D6" s="10"/>
      <x:c r="E6" s="10"/>
      <x:c r="F6" s="10"/>
      <x:c r="G6" s="10"/>
      <x:c r="H6" s="10"/>
      <x:c r="I6" s="10"/>
    </x:row>
    <x:row r="7" ht="60" customHeight="1">
      <x:c r="A7" s="10"/>
      <x:c r="B7" s="10"/>
      <x:c r="C7" s="10"/>
      <x:c r="D7" s="10"/>
      <x:c r="E7" s="10"/>
      <x:c r="F7" s="10"/>
      <x:c r="G7" s="10"/>
      <x:c r="H7" s="10"/>
      <x:c r="I7" s="10"/>
    </x:row>
    <x:row r="8" ht="60" customHeight="1">
      <x:c r="A8" s="10"/>
      <x:c r="B8" s="10"/>
      <x:c r="C8" s="10"/>
      <x:c r="D8" s="10"/>
      <x:c r="E8" s="10"/>
      <x:c r="F8" s="10"/>
      <x:c r="G8" s="10"/>
      <x:c r="H8" s="10"/>
      <x:c r="I8" s="10"/>
    </x:row>
    <x:row r="9" ht="60" customHeight="1">
      <x:c r="A9" s="10"/>
      <x:c r="B9" s="10"/>
      <x:c r="C9" s="10"/>
      <x:c r="D9" s="10"/>
      <x:c r="E9" s="10"/>
      <x:c r="F9" s="10"/>
      <x:c r="G9" s="10"/>
      <x:c r="H9" s="10"/>
      <x:c r="I9" s="10"/>
    </x:row>
    <x:row r="10" ht="60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60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60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60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60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60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60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60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60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60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60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60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60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60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60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60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60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60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60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60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60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 ht="60" customHeight="1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 ht="60" customHeight="1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 ht="60" customHeight="1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 ht="60" customHeight="1">
      <x:c r="A48" s="10"/>
      <x:c r="B48" s="10"/>
      <x:c r="C48" s="10"/>
      <x:c r="D48" s="10"/>
      <x:c r="E48" s="10"/>
      <x:c r="F48" s="10"/>
      <x:c r="G48" s="10"/>
      <x:c r="H48" s="10"/>
      <x:c r="I48" s="10"/>
    </x:row>
    <x:row r="49" ht="60" customHeight="1">
      <x:c r="A49" s="10"/>
      <x:c r="B49" s="10"/>
      <x:c r="C49" s="10"/>
      <x:c r="D49" s="10"/>
      <x:c r="E49" s="10"/>
      <x:c r="F49" s="10"/>
      <x:c r="G49" s="10"/>
      <x:c r="H49" s="10"/>
      <x:c r="I49" s="10"/>
    </x:row>
    <x:row r="50" ht="60" customHeight="1">
      <x:c r="A50" s="10"/>
      <x:c r="B50" s="10"/>
      <x:c r="C50" s="10"/>
      <x:c r="D50" s="10"/>
      <x:c r="E50" s="10"/>
      <x:c r="F50" s="10"/>
      <x:c r="G50" s="10"/>
      <x:c r="H50" s="10"/>
      <x:c r="I50" s="10"/>
    </x:row>
    <x:row r="51" ht="60" customHeight="1">
      <x:c r="A51" s="10"/>
      <x:c r="B51" s="10"/>
      <x:c r="C51" s="10"/>
      <x:c r="D51" s="10"/>
      <x:c r="E51" s="10"/>
      <x:c r="F51" s="10"/>
      <x:c r="G51" s="10"/>
      <x:c r="H51" s="10"/>
      <x:c r="I51" s="10"/>
    </x:row>
    <x:row r="52" ht="60" customHeight="1">
      <x:c r="A52" s="10"/>
      <x:c r="B52" s="10"/>
      <x:c r="C52" s="10"/>
      <x:c r="D52" s="10"/>
      <x:c r="E52" s="10"/>
      <x:c r="F52" s="10"/>
      <x:c r="G52" s="10"/>
      <x:c r="H52" s="10"/>
      <x:c r="I52" s="10"/>
    </x:row>
    <x:row r="53" ht="60" customHeight="1">
      <x:c r="A53" s="10"/>
      <x:c r="B53" s="10"/>
      <x:c r="C53" s="10"/>
      <x:c r="D53" s="10"/>
      <x:c r="E53" s="10"/>
      <x:c r="F53" s="10"/>
      <x:c r="G53" s="10"/>
      <x:c r="H53" s="10"/>
      <x:c r="I53" s="10"/>
    </x:row>
    <x:row r="54" ht="60" customHeight="1">
      <x:c r="A54" s="10"/>
      <x:c r="B54" s="10"/>
      <x:c r="C54" s="10"/>
      <x:c r="D54" s="10"/>
      <x:c r="E54" s="10"/>
      <x:c r="F54" s="10"/>
      <x:c r="G54" s="10"/>
      <x:c r="H54" s="10"/>
      <x:c r="I54" s="10"/>
    </x:row>
    <x:row r="55" ht="60" customHeight="1">
      <x:c r="A55" s="10"/>
      <x:c r="B55" s="10"/>
      <x:c r="C55" s="10"/>
      <x:c r="D55" s="10"/>
      <x:c r="E55" s="10"/>
      <x:c r="F55" s="10"/>
      <x:c r="G55" s="10"/>
      <x:c r="H55" s="10"/>
      <x:c r="I55" s="10"/>
    </x:row>
    <x:row r="56" ht="60" customHeight="1">
      <x:c r="A56" s="10"/>
      <x:c r="B56" s="10"/>
      <x:c r="C56" s="10"/>
      <x:c r="D56" s="10"/>
      <x:c r="E56" s="10"/>
      <x:c r="F56" s="10"/>
      <x:c r="G56" s="10"/>
      <x:c r="H56" s="10"/>
      <x:c r="I56" s="10"/>
    </x:row>
    <x:row r="57" ht="60" customHeight="1">
      <x:c r="A57" s="10"/>
      <x:c r="B57" s="10"/>
      <x:c r="C57" s="10"/>
      <x:c r="D57" s="10"/>
      <x:c r="E57" s="10"/>
      <x:c r="F57" s="10"/>
      <x:c r="G57" s="10"/>
      <x:c r="H57" s="10"/>
      <x:c r="I57" s="10"/>
    </x:row>
    <x:row r="58" ht="60" customHeight="1">
      <x:c r="A58" s="10"/>
      <x:c r="B58" s="10"/>
      <x:c r="C58" s="10"/>
      <x:c r="D58" s="10"/>
      <x:c r="E58" s="10"/>
      <x:c r="F58" s="10"/>
      <x:c r="G58" s="10"/>
      <x:c r="H58" s="10"/>
      <x:c r="I58" s="10"/>
    </x:row>
    <x:row r="59" ht="60" customHeight="1">
      <x:c r="A59" s="10"/>
      <x:c r="B59" s="10"/>
      <x:c r="C59" s="10"/>
      <x:c r="D59" s="10"/>
      <x:c r="E59" s="10"/>
      <x:c r="F59" s="10"/>
      <x:c r="G59" s="10"/>
      <x:c r="H59" s="10"/>
      <x:c r="I59" s="10"/>
    </x:row>
    <x:row r="60" ht="60" customHeight="1">
      <x:c r="A60" s="10"/>
      <x:c r="B60" s="10"/>
      <x:c r="C60" s="10"/>
      <x:c r="D60" s="10"/>
      <x:c r="E60" s="10"/>
      <x:c r="F60" s="10"/>
      <x:c r="G60" s="10"/>
      <x:c r="H60" s="10"/>
      <x:c r="I60" s="10"/>
    </x:row>
    <x:row r="61" ht="60" customHeight="1">
      <x:c r="A61" s="10"/>
      <x:c r="B61" s="10"/>
      <x:c r="C61" s="10"/>
      <x:c r="D61" s="10"/>
      <x:c r="E61" s="10"/>
      <x:c r="F61" s="10"/>
      <x:c r="G61" s="10"/>
      <x:c r="H61" s="10"/>
      <x:c r="I61" s="10"/>
    </x:row>
    <x:row r="62" ht="60" customHeight="1">
      <x:c r="A62" s="10"/>
      <x:c r="B62" s="10"/>
      <x:c r="C62" s="10"/>
      <x:c r="D62" s="10"/>
      <x:c r="E62" s="10"/>
      <x:c r="F62" s="10"/>
      <x:c r="G62" s="10"/>
      <x:c r="H62" s="10"/>
      <x:c r="I62" s="10"/>
    </x:row>
    <x:row r="63" ht="60" customHeight="1">
      <x:c r="A63" s="10"/>
      <x:c r="B63" s="10"/>
      <x:c r="C63" s="10"/>
      <x:c r="D63" s="10"/>
      <x:c r="E63" s="10"/>
      <x:c r="F63" s="10"/>
      <x:c r="G63" s="10"/>
      <x:c r="H63" s="10"/>
      <x:c r="I63" s="10"/>
    </x:row>
    <x:row r="64" ht="60" customHeight="1">
      <x:c r="A64" s="10"/>
      <x:c r="B64" s="10"/>
      <x:c r="C64" s="10"/>
      <x:c r="D64" s="10"/>
      <x:c r="E64" s="10"/>
      <x:c r="F64" s="10"/>
      <x:c r="G64" s="10"/>
      <x:c r="H64" s="10"/>
      <x:c r="I64" s="10"/>
    </x:row>
    <x:row r="65" ht="60" customHeight="1">
      <x:c r="A65" s="10"/>
      <x:c r="B65" s="10"/>
      <x:c r="C65" s="10"/>
      <x:c r="D65" s="10"/>
      <x:c r="E65" s="10"/>
      <x:c r="F65" s="10"/>
      <x:c r="G65" s="10"/>
      <x:c r="H65" s="10"/>
      <x:c r="I65" s="10"/>
    </x:row>
    <x:row r="66" ht="60" customHeight="1">
      <x:c r="A66" s="10"/>
      <x:c r="B66" s="10"/>
      <x:c r="C66" s="10"/>
      <x:c r="D66" s="10"/>
      <x:c r="E66" s="10"/>
      <x:c r="F66" s="10"/>
      <x:c r="G66" s="10"/>
      <x:c r="H66" s="10"/>
      <x:c r="I66" s="10"/>
    </x:row>
    <x:row r="67" ht="60" customHeight="1">
      <x:c r="A67" s="10"/>
      <x:c r="B67" s="10"/>
      <x:c r="C67" s="10"/>
      <x:c r="D67" s="10"/>
      <x:c r="E67" s="10"/>
      <x:c r="F67" s="10"/>
      <x:c r="G67" s="10"/>
      <x:c r="H67" s="10"/>
      <x:c r="I67" s="10"/>
    </x:row>
    <x:row r="68" ht="60" customHeight="1">
      <x:c r="A68" s="10"/>
      <x:c r="B68" s="10"/>
      <x:c r="C68" s="10"/>
      <x:c r="D68" s="10"/>
      <x:c r="E68" s="10"/>
      <x:c r="F68" s="10"/>
      <x:c r="G68" s="10"/>
      <x:c r="H68" s="10"/>
      <x:c r="I68" s="10"/>
    </x:row>
    <x:row r="69" ht="60" customHeight="1">
      <x:c r="A69" s="10"/>
      <x:c r="B69" s="10"/>
      <x:c r="C69" s="10"/>
      <x:c r="D69" s="10"/>
      <x:c r="E69" s="10"/>
      <x:c r="F69" s="10"/>
      <x:c r="G69" s="10"/>
      <x:c r="H69" s="10"/>
      <x:c r="I69" s="10"/>
    </x:row>
    <x:row r="70" ht="60" customHeight="1">
      <x:c r="A70" s="10"/>
      <x:c r="B70" s="10"/>
      <x:c r="C70" s="10"/>
      <x:c r="D70" s="10"/>
      <x:c r="E70" s="10"/>
      <x:c r="F70" s="10"/>
      <x:c r="G70" s="10"/>
      <x:c r="H70" s="10"/>
      <x:c r="I70" s="10"/>
    </x:row>
    <x:row r="71" ht="60" customHeight="1">
      <x:c r="A71" s="10"/>
      <x:c r="B71" s="10"/>
      <x:c r="C71" s="10"/>
      <x:c r="D71" s="10"/>
      <x:c r="E71" s="10"/>
      <x:c r="F71" s="10"/>
      <x:c r="G71" s="10"/>
      <x:c r="H71" s="10"/>
      <x:c r="I71" s="10"/>
    </x:row>
    <x:row r="72" ht="60" customHeight="1">
      <x:c r="A72" s="10"/>
      <x:c r="B72" s="10"/>
      <x:c r="C72" s="10"/>
      <x:c r="D72" s="10"/>
      <x:c r="E72" s="10"/>
      <x:c r="F72" s="10"/>
      <x:c r="G72" s="10"/>
      <x:c r="H72" s="10"/>
      <x:c r="I72" s="10"/>
    </x:row>
    <x:row r="73" ht="60" customHeight="1">
      <x:c r="A73" s="10"/>
      <x:c r="B73" s="10"/>
      <x:c r="C73" s="10"/>
      <x:c r="D73" s="10"/>
      <x:c r="E73" s="10"/>
      <x:c r="F73" s="10"/>
      <x:c r="G73" s="10"/>
      <x:c r="H73" s="10"/>
      <x:c r="I73" s="10"/>
    </x:row>
    <x:row r="74" ht="60" customHeight="1">
      <x:c r="A74" s="10"/>
      <x:c r="B74" s="10"/>
      <x:c r="C74" s="10"/>
      <x:c r="D74" s="10"/>
      <x:c r="E74" s="10"/>
      <x:c r="F74" s="10"/>
      <x:c r="G74" s="10"/>
      <x:c r="H74" s="10"/>
      <x:c r="I74" s="10"/>
    </x:row>
    <x:row r="75" ht="60" customHeight="1">
      <x:c r="A75" s="10"/>
      <x:c r="B75" s="10"/>
      <x:c r="C75" s="10"/>
      <x:c r="D75" s="10"/>
      <x:c r="E75" s="10"/>
      <x:c r="F75" s="10"/>
      <x:c r="G75" s="10"/>
      <x:c r="H75" s="10"/>
      <x:c r="I75" s="10"/>
    </x:row>
    <x:row r="76" ht="60" customHeight="1">
      <x:c r="A76" s="10"/>
      <x:c r="B76" s="10"/>
      <x:c r="C76" s="10"/>
      <x:c r="D76" s="10"/>
      <x:c r="E76" s="10"/>
      <x:c r="F76" s="10"/>
      <x:c r="G76" s="10"/>
      <x:c r="H76" s="10"/>
      <x:c r="I76" s="10"/>
    </x:row>
    <x:row r="77" ht="60" customHeight="1">
      <x:c r="A77" s="10"/>
      <x:c r="B77" s="10"/>
      <x:c r="C77" s="10"/>
      <x:c r="D77" s="10"/>
      <x:c r="E77" s="10"/>
      <x:c r="F77" s="10"/>
      <x:c r="G77" s="10"/>
      <x:c r="H77" s="10"/>
      <x:c r="I77" s="10"/>
    </x:row>
    <x:row r="78" ht="60" customHeight="1">
      <x:c r="A78" s="10"/>
      <x:c r="B78" s="10"/>
      <x:c r="C78" s="10"/>
      <x:c r="D78" s="10"/>
      <x:c r="E78" s="10"/>
      <x:c r="F78" s="10"/>
      <x:c r="G78" s="10"/>
      <x:c r="H78" s="10"/>
      <x:c r="I78" s="10"/>
    </x:row>
    <x:row r="79" ht="60" customHeight="1">
      <x:c r="A79" s="10"/>
      <x:c r="B79" s="10"/>
      <x:c r="C79" s="10"/>
      <x:c r="D79" s="10"/>
      <x:c r="E79" s="10"/>
      <x:c r="F79" s="10"/>
      <x:c r="G79" s="10"/>
      <x:c r="H79" s="10"/>
      <x:c r="I79" s="10"/>
    </x:row>
    <x:row r="80" ht="60" customHeight="1">
      <x:c r="A80" s="10"/>
      <x:c r="B80" s="10"/>
      <x:c r="C80" s="10"/>
      <x:c r="D80" s="10"/>
      <x:c r="E80" s="10"/>
      <x:c r="F80" s="10"/>
      <x:c r="G80" s="10"/>
      <x:c r="H80" s="10"/>
      <x:c r="I80" s="10"/>
    </x:row>
    <x:row r="81" ht="60" customHeight="1">
      <x:c r="A81" s="10"/>
      <x:c r="B81" s="10"/>
      <x:c r="C81" s="10"/>
      <x:c r="D81" s="10"/>
      <x:c r="E81" s="10"/>
      <x:c r="F81" s="10"/>
      <x:c r="G81" s="10"/>
      <x:c r="H81" s="10"/>
      <x:c r="I81" s="10"/>
    </x:row>
    <x:row r="82" ht="60" customHeight="1">
      <x:c r="A82" s="10"/>
      <x:c r="B82" s="10"/>
      <x:c r="C82" s="10"/>
      <x:c r="D82" s="10"/>
      <x:c r="E82" s="10"/>
      <x:c r="F82" s="10"/>
      <x:c r="G82" s="10"/>
      <x:c r="H82" s="10"/>
      <x:c r="I82" s="10"/>
    </x:row>
    <x:row r="83" ht="60" customHeight="1">
      <x:c r="A83" s="10"/>
      <x:c r="B83" s="10"/>
      <x:c r="C83" s="10"/>
      <x:c r="D83" s="10"/>
      <x:c r="E83" s="10"/>
      <x:c r="F83" s="10"/>
      <x:c r="G83" s="10"/>
      <x:c r="H83" s="10"/>
      <x:c r="I83" s="10"/>
    </x:row>
    <x:row r="84" ht="60" customHeight="1">
      <x:c r="A84" s="10"/>
      <x:c r="B84" s="10"/>
      <x:c r="C84" s="10"/>
      <x:c r="D84" s="10"/>
      <x:c r="E84" s="10"/>
      <x:c r="F84" s="10"/>
      <x:c r="G84" s="10"/>
      <x:c r="H84" s="10"/>
      <x:c r="I84" s="10"/>
    </x:row>
  </x:sheetData>
  <x:conditionalFormatting sqref="G5:G84">
    <x:cfRule type="containsText" dxfId="0" priority="1" operator="containsText" text="FAIL"/>
  </x:conditionalFormatting>
  <x:dataValidations count="1">
    <x:dataValidation type="list" sqref="G5:G84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83494c07f14e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5" hidden="0" customWidth="1"/>
    <x:col min="3" max="3" width="40" hidden="0" customWidth="1"/>
    <x:col min="4" max="4" width="52" hidden="0" customWidth="1"/>
    <x:col min="5" max="5" width="45" hidden="0" customWidth="1"/>
    <x:col min="6" max="6" width="45" hidden="0" customWidth="1"/>
    <x:col min="7" max="7" width="35" hidden="0" customWidth="1"/>
    <x:col min="8" max="8" width="35" hidden="0" customWidth="1"/>
    <x:col min="9" max="9" width="18" hidden="0" customWidth="1"/>
  </x:cols>
  <x:sheetData>
    <x:row r="1">
      <x:c r="A1" s="2" t="str">
        <x:v>Defects — T08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One report per reproducible issue; distinguish source data issues, specification questions and software defects.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5" customHeight="1">
      <x:c r="A4" s="7" t="str">
        <x:v>Defect ID</x:v>
      </x:c>
      <x:c r="B4" s="7" t="str">
        <x:v>Title / tests</x:v>
      </x:c>
      <x:c r="C4" s="7" t="str">
        <x:v>Rule / build / environment</x:v>
      </x:c>
      <x:c r="D4" s="7" t="str">
        <x:v>Exact reproduction</x:v>
      </x:c>
      <x:c r="E4" s="7" t="str">
        <x:v>Expected</x:v>
      </x:c>
      <x:c r="F4" s="7" t="str">
        <x:v>Actual</x:v>
      </x:c>
      <x:c r="G4" s="7" t="str">
        <x:v>Evidence</x:v>
      </x:c>
      <x:c r="H4" s="7" t="str">
        <x:v>Severity / rationale</x:v>
      </x:c>
      <x:c r="I4" s="7" t="str">
        <x:v>Status</x:v>
      </x:c>
    </x:row>
    <x:row r="5" ht="60" customHeight="1">
      <x:c r="A5" s="10"/>
      <x:c r="B5" s="10"/>
      <x:c r="C5" s="10"/>
      <x:c r="D5" s="10"/>
      <x:c r="E5" s="10"/>
      <x:c r="F5" s="10"/>
      <x:c r="G5" s="10"/>
      <x:c r="H5" s="10"/>
      <x:c r="I5" s="10"/>
    </x:row>
    <x:row r="6" ht="60" customHeight="1">
      <x:c r="A6" s="10"/>
      <x:c r="B6" s="10"/>
      <x:c r="C6" s="10"/>
      <x:c r="D6" s="10"/>
      <x:c r="E6" s="10"/>
      <x:c r="F6" s="10"/>
      <x:c r="G6" s="10"/>
      <x:c r="H6" s="10"/>
      <x:c r="I6" s="10"/>
    </x:row>
    <x:row r="7" ht="60" customHeight="1">
      <x:c r="A7" s="10"/>
      <x:c r="B7" s="10"/>
      <x:c r="C7" s="10"/>
      <x:c r="D7" s="10"/>
      <x:c r="E7" s="10"/>
      <x:c r="F7" s="10"/>
      <x:c r="G7" s="10"/>
      <x:c r="H7" s="10"/>
      <x:c r="I7" s="10"/>
    </x:row>
    <x:row r="8" ht="60" customHeight="1">
      <x:c r="A8" s="10"/>
      <x:c r="B8" s="10"/>
      <x:c r="C8" s="10"/>
      <x:c r="D8" s="10"/>
      <x:c r="E8" s="10"/>
      <x:c r="F8" s="10"/>
      <x:c r="G8" s="10"/>
      <x:c r="H8" s="10"/>
      <x:c r="I8" s="10"/>
    </x:row>
    <x:row r="9" ht="60" customHeight="1">
      <x:c r="A9" s="10"/>
      <x:c r="B9" s="10"/>
      <x:c r="C9" s="10"/>
      <x:c r="D9" s="10"/>
      <x:c r="E9" s="10"/>
      <x:c r="F9" s="10"/>
      <x:c r="G9" s="10"/>
      <x:c r="H9" s="10"/>
      <x:c r="I9" s="10"/>
    </x:row>
    <x:row r="10" ht="60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60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60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60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60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60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60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60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60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60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60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60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60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60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60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60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60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60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60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60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60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  <x:c r="I44" s="10"/>
    </x:row>
  </x:sheetData>
  <x:pageMargins left="0.7" right="0.7" top="0.75" bottom="0.75" header="0.3" footer="0.3"/>
  <x:tableParts count="1">
    <x:tablePart xmlns:r="http://schemas.openxmlformats.org/officeDocument/2006/relationships" r:id="Rf5dab06f7d4940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50" hidden="0" customWidth="1"/>
    <x:col min="4" max="4" width="46" hidden="0" customWidth="1"/>
    <x:col min="5" max="5" width="48" hidden="0" customWidth="1"/>
    <x:col min="6" max="6" width="32" hidden="0" customWidth="1"/>
  </x:cols>
  <x:sheetData>
    <x:row r="1">
      <x:c r="A1" s="2" t="str">
        <x:v>Static Review — T08</x:v>
      </x:c>
      <x:c r="B1" s="1"/>
      <x:c r="C1" s="1"/>
      <x:c r="D1" s="1"/>
      <x:c r="E1" s="1"/>
      <x:c r="F1" s="1"/>
    </x:row>
    <x:row r="2">
      <x:c r="A2" s="3" t="str">
        <x:v>Record supported observations. If no ambiguity is found, explain testability.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45" customHeight="1">
      <x:c r="A4" s="7" t="str">
        <x:v>Review ID</x:v>
      </x:c>
      <x:c r="B4" s="7" t="str">
        <x:v>Rule</x:v>
      </x:c>
      <x:c r="C4" s="7" t="str">
        <x:v>Observation / question</x:v>
      </x:c>
      <x:c r="D4" s="7" t="str">
        <x:v>Impact / rationale</x:v>
      </x:c>
      <x:c r="E4" s="7" t="str">
        <x:v>Suggested clarification</x:v>
      </x:c>
      <x:c r="F4" s="7" t="str">
        <x:v>Outcome / owner</x:v>
      </x:c>
    </x:row>
    <x:row r="5" ht="60" customHeight="1">
      <x:c r="A5" s="10"/>
      <x:c r="B5" s="10"/>
      <x:c r="C5" s="10"/>
      <x:c r="D5" s="10"/>
      <x:c r="E5" s="10"/>
      <x:c r="F5" s="10"/>
    </x:row>
    <x:row r="6" ht="60" customHeight="1">
      <x:c r="A6" s="10"/>
      <x:c r="B6" s="10"/>
      <x:c r="C6" s="10"/>
      <x:c r="D6" s="10"/>
      <x:c r="E6" s="10"/>
      <x:c r="F6" s="10"/>
    </x:row>
    <x:row r="7" ht="60" customHeight="1">
      <x:c r="A7" s="10"/>
      <x:c r="B7" s="10"/>
      <x:c r="C7" s="10"/>
      <x:c r="D7" s="10"/>
      <x:c r="E7" s="10"/>
      <x:c r="F7" s="10"/>
    </x:row>
    <x:row r="8" ht="60" customHeight="1">
      <x:c r="A8" s="10"/>
      <x:c r="B8" s="10"/>
      <x:c r="C8" s="10"/>
      <x:c r="D8" s="10"/>
      <x:c r="E8" s="10"/>
      <x:c r="F8" s="10"/>
    </x:row>
    <x:row r="9" ht="60" customHeight="1">
      <x:c r="A9" s="10"/>
      <x:c r="B9" s="10"/>
      <x:c r="C9" s="10"/>
      <x:c r="D9" s="10"/>
      <x:c r="E9" s="10"/>
      <x:c r="F9" s="10"/>
    </x:row>
    <x:row r="10" ht="60" customHeight="1">
      <x:c r="A10" s="10"/>
      <x:c r="B10" s="10"/>
      <x:c r="C10" s="10"/>
      <x:c r="D10" s="10"/>
      <x:c r="E10" s="10"/>
      <x:c r="F10" s="10"/>
    </x:row>
    <x:row r="11" ht="60" customHeight="1">
      <x:c r="A11" s="10"/>
      <x:c r="B11" s="10"/>
      <x:c r="C11" s="10"/>
      <x:c r="D11" s="10"/>
      <x:c r="E11" s="10"/>
      <x:c r="F11" s="10"/>
    </x:row>
    <x:row r="12" ht="60" customHeight="1">
      <x:c r="A12" s="10"/>
      <x:c r="B12" s="10"/>
      <x:c r="C12" s="10"/>
      <x:c r="D12" s="10"/>
      <x:c r="E12" s="10"/>
      <x:c r="F12" s="10"/>
    </x:row>
    <x:row r="13" ht="60" customHeight="1">
      <x:c r="A13" s="10"/>
      <x:c r="B13" s="10"/>
      <x:c r="C13" s="10"/>
      <x:c r="D13" s="10"/>
      <x:c r="E13" s="10"/>
      <x:c r="F13" s="10"/>
    </x:row>
    <x:row r="14" ht="60" customHeight="1">
      <x:c r="A14" s="10"/>
      <x:c r="B14" s="10"/>
      <x:c r="C14" s="10"/>
      <x:c r="D14" s="10"/>
      <x:c r="E14" s="10"/>
      <x:c r="F14" s="10"/>
    </x:row>
    <x:row r="15" ht="60" customHeight="1">
      <x:c r="A15" s="10"/>
      <x:c r="B15" s="10"/>
      <x:c r="C15" s="10"/>
      <x:c r="D15" s="10"/>
      <x:c r="E15" s="10"/>
      <x:c r="F15" s="10"/>
    </x:row>
    <x:row r="16" ht="60" customHeight="1">
      <x:c r="A16" s="10"/>
      <x:c r="B16" s="10"/>
      <x:c r="C16" s="10"/>
      <x:c r="D16" s="10"/>
      <x:c r="E16" s="10"/>
      <x:c r="F16" s="10"/>
    </x:row>
    <x:row r="17" ht="60" customHeight="1">
      <x:c r="A17" s="10"/>
      <x:c r="B17" s="10"/>
      <x:c r="C17" s="10"/>
      <x:c r="D17" s="10"/>
      <x:c r="E17" s="10"/>
      <x:c r="F17" s="10"/>
    </x:row>
    <x:row r="18" ht="60" customHeight="1">
      <x:c r="A18" s="10"/>
      <x:c r="B18" s="10"/>
      <x:c r="C18" s="10"/>
      <x:c r="D18" s="10"/>
      <x:c r="E18" s="10"/>
      <x:c r="F18" s="10"/>
    </x:row>
    <x:row r="19" ht="60" customHeight="1">
      <x:c r="A19" s="10"/>
      <x:c r="B19" s="10"/>
      <x:c r="C19" s="10"/>
      <x:c r="D19" s="10"/>
      <x:c r="E19" s="10"/>
      <x:c r="F19" s="10"/>
    </x:row>
    <x:row r="20" ht="60" customHeight="1">
      <x:c r="A20" s="10"/>
      <x:c r="B20" s="10"/>
      <x:c r="C20" s="10"/>
      <x:c r="D20" s="10"/>
      <x:c r="E20" s="10"/>
      <x:c r="F20" s="10"/>
    </x:row>
    <x:row r="21" ht="60" customHeight="1">
      <x:c r="A21" s="10"/>
      <x:c r="B21" s="10"/>
      <x:c r="C21" s="10"/>
      <x:c r="D21" s="10"/>
      <x:c r="E21" s="10"/>
      <x:c r="F21" s="10"/>
    </x:row>
    <x:row r="22" ht="60" customHeight="1">
      <x:c r="A22" s="10"/>
      <x:c r="B22" s="10"/>
      <x:c r="C22" s="10"/>
      <x:c r="D22" s="10"/>
      <x:c r="E22" s="10"/>
      <x:c r="F22" s="10"/>
    </x:row>
    <x:row r="23" ht="60" customHeight="1">
      <x:c r="A23" s="10"/>
      <x:c r="B23" s="10"/>
      <x:c r="C23" s="10"/>
      <x:c r="D23" s="10"/>
      <x:c r="E23" s="10"/>
      <x:c r="F23" s="10"/>
    </x:row>
    <x:row r="24" ht="60" customHeight="1">
      <x:c r="A24" s="10"/>
      <x:c r="B24" s="10"/>
      <x:c r="C24" s="10"/>
      <x:c r="D24" s="10"/>
      <x:c r="E24" s="10"/>
      <x:c r="F24" s="10"/>
    </x:row>
    <x:row r="25" ht="60" customHeight="1">
      <x:c r="A25" s="10"/>
      <x:c r="B25" s="10"/>
      <x:c r="C25" s="10"/>
      <x:c r="D25" s="10"/>
      <x:c r="E25" s="10"/>
      <x:c r="F25" s="10"/>
    </x:row>
    <x:row r="26" ht="60" customHeight="1">
      <x:c r="A26" s="10"/>
      <x:c r="B26" s="10"/>
      <x:c r="C26" s="10"/>
      <x:c r="D26" s="10"/>
      <x:c r="E26" s="10"/>
      <x:c r="F26" s="10"/>
    </x:row>
    <x:row r="27" ht="60" customHeight="1">
      <x:c r="A27" s="10"/>
      <x:c r="B27" s="10"/>
      <x:c r="C27" s="10"/>
      <x:c r="D27" s="10"/>
      <x:c r="E27" s="10"/>
      <x:c r="F27" s="10"/>
    </x:row>
    <x:row r="28" ht="60" customHeight="1">
      <x:c r="A28" s="10"/>
      <x:c r="B28" s="10"/>
      <x:c r="C28" s="10"/>
      <x:c r="D28" s="10"/>
      <x:c r="E28" s="10"/>
      <x:c r="F28" s="10"/>
    </x:row>
    <x:row r="29" ht="60" customHeight="1">
      <x:c r="A29" s="10"/>
      <x:c r="B29" s="10"/>
      <x:c r="C29" s="10"/>
      <x:c r="D29" s="10"/>
      <x:c r="E29" s="10"/>
      <x:c r="F29" s="10"/>
    </x:row>
    <x:row r="30" ht="60" customHeight="1">
      <x:c r="A30" s="10"/>
      <x:c r="B30" s="10"/>
      <x:c r="C30" s="10"/>
      <x:c r="D30" s="10"/>
      <x:c r="E30" s="10"/>
      <x:c r="F30" s="10"/>
    </x:row>
    <x:row r="31" ht="60" customHeight="1">
      <x:c r="A31" s="10"/>
      <x:c r="B31" s="10"/>
      <x:c r="C31" s="10"/>
      <x:c r="D31" s="10"/>
      <x:c r="E31" s="10"/>
      <x:c r="F31" s="10"/>
    </x:row>
    <x:row r="32" ht="60" customHeight="1">
      <x:c r="A32" s="10"/>
      <x:c r="B32" s="10"/>
      <x:c r="C32" s="10"/>
      <x:c r="D32" s="10"/>
      <x:c r="E32" s="10"/>
      <x:c r="F32" s="10"/>
    </x:row>
    <x:row r="33" ht="60" customHeight="1">
      <x:c r="A33" s="10"/>
      <x:c r="B33" s="10"/>
      <x:c r="C33" s="10"/>
      <x:c r="D33" s="10"/>
      <x:c r="E33" s="10"/>
      <x:c r="F33" s="10"/>
    </x:row>
    <x:row r="34" ht="60" customHeight="1">
      <x:c r="A34" s="10"/>
      <x:c r="B34" s="10"/>
      <x:c r="C34" s="10"/>
      <x:c r="D34" s="10"/>
      <x:c r="E34" s="10"/>
      <x:c r="F34" s="10"/>
    </x:row>
  </x:sheetData>
  <x:pageMargins left="0.7" right="0.7" top="0.75" bottom="0.75" header="0.3" footer="0.3"/>
  <x:tableParts count="1">
    <x:tablePart xmlns:r="http://schemas.openxmlformats.org/officeDocument/2006/relationships" r:id="R86a1297cc92a42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3" hidden="0" customWidth="1"/>
    <x:col min="5" max="5" width="32" hidden="0" customWidth="1"/>
  </x:cols>
  <x:sheetData>
    <x:row r="1">
      <x:c r="A1" s="2" t="str">
        <x:v>Requirement coverage — T08</x:v>
      </x:c>
      <x:c r="B1" s="1"/>
      <x:c r="C1" s="1"/>
      <x:c r="D1" s="1"/>
      <x:c r="E1" s="1"/>
    </x:row>
    <x:row r="2">
      <x:c r="A2" s="1" t="str">
        <x:v>Unique valid test links; executed = at least one PASS or FAIL. This is not technique coverage.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6" t="str">
        <x:v>Requirement</x:v>
      </x:c>
      <x:c r="B4" s="6" t="str">
        <x:v>Business rule</x:v>
      </x:c>
      <x:c r="C4" s="6" t="str">
        <x:v>Designed</x:v>
      </x:c>
      <x:c r="D4" s="6" t="str">
        <x:v>Executed</x:v>
      </x:c>
      <x:c r="E4" s="6" t="str">
        <x:v>Not executed</x:v>
      </x:c>
    </x:row>
    <x:row r="5" ht="28" customHeight="1">
      <x:c r="A5" s="1" t="str">
        <x:v>R01</x:v>
      </x:c>
      <x:c r="B5" s="1" t="str">
        <x:v>BR-01</x:v>
      </x:c>
      <x:c r="C5" s="1" t="n">
        <x:f>SUMIFS($C$21:$C$120,$A$21:$A$120,A5)</x:f>
        <x:v>0</x:v>
      </x:c>
      <x:c r="D5" s="1" t="n">
        <x:f>SUMIFS($D$21:$D$120,$A$21:$A$120,A5)</x:f>
        <x:v>0</x:v>
      </x:c>
      <x:c r="E5" s="1" t="n">
        <x:f>C5-D5</x:f>
        <x:v>0</x:v>
      </x:c>
    </x:row>
    <x:row r="6" ht="28" customHeight="1">
      <x:c r="A6" s="1" t="str">
        <x:v>R02</x:v>
      </x:c>
      <x:c r="B6" s="1" t="str">
        <x:v>BR-02</x:v>
      </x:c>
      <x:c r="C6" s="1" t="n">
        <x:f>SUMIFS($C$21:$C$120,$A$21:$A$120,A6)</x:f>
        <x:v>0</x:v>
      </x:c>
      <x:c r="D6" s="1" t="n">
        <x:f>SUMIFS($D$21:$D$120,$A$21:$A$120,A6)</x:f>
        <x:v>0</x:v>
      </x:c>
      <x:c r="E6" s="1" t="n">
        <x:f>C6-D6</x:f>
        <x:v>0</x:v>
      </x:c>
    </x:row>
    <x:row r="7" ht="28" customHeight="1">
      <x:c r="A7" s="1" t="str">
        <x:v>R03</x:v>
      </x:c>
      <x:c r="B7" s="1" t="str">
        <x:v>BR-03</x:v>
      </x:c>
      <x:c r="C7" s="1" t="n">
        <x:f>SUMIFS($C$21:$C$120,$A$21:$A$120,A7)</x:f>
        <x:v>0</x:v>
      </x:c>
      <x:c r="D7" s="1" t="n">
        <x:f>SUMIFS($D$21:$D$120,$A$21:$A$120,A7)</x:f>
        <x:v>0</x:v>
      </x:c>
      <x:c r="E7" s="1" t="n">
        <x:f>C7-D7</x:f>
        <x:v>0</x:v>
      </x:c>
    </x:row>
    <x:row r="8" ht="28" customHeight="1">
      <x:c r="A8" s="1" t="str">
        <x:v>R04</x:v>
      </x:c>
      <x:c r="B8" s="1" t="str">
        <x:v>BR-04</x:v>
      </x:c>
      <x:c r="C8" s="1" t="n">
        <x:f>SUMIFS($C$21:$C$120,$A$21:$A$120,A8)</x:f>
        <x:v>0</x:v>
      </x:c>
      <x:c r="D8" s="1" t="n">
        <x:f>SUMIFS($D$21:$D$120,$A$21:$A$120,A8)</x:f>
        <x:v>0</x:v>
      </x:c>
      <x:c r="E8" s="1" t="n">
        <x:f>C8-D8</x:f>
        <x:v>0</x:v>
      </x:c>
    </x:row>
    <x:row r="9" ht="28" customHeight="1">
      <x:c r="A9" s="1" t="str">
        <x:v>R05</x:v>
      </x:c>
      <x:c r="B9" s="1" t="str">
        <x:v>BR-05</x:v>
      </x:c>
      <x:c r="C9" s="1" t="n">
        <x:f>SUMIFS($C$21:$C$120,$A$21:$A$120,A9)</x:f>
        <x:v>0</x:v>
      </x:c>
      <x:c r="D9" s="1" t="n">
        <x:f>SUMIFS($D$21:$D$120,$A$21:$A$120,A9)</x:f>
        <x:v>0</x:v>
      </x:c>
      <x:c r="E9" s="1" t="n">
        <x:f>C9-D9</x:f>
        <x:v>0</x:v>
      </x:c>
    </x:row>
    <x:row r="10" ht="28" customHeight="1">
      <x:c r="A10" s="1" t="str">
        <x:v>R06</x:v>
      </x:c>
      <x:c r="B10" s="1" t="str">
        <x:v>BR-06</x:v>
      </x:c>
      <x:c r="C10" s="1" t="n">
        <x:f>SUMIFS($C$21:$C$120,$A$21:$A$120,A10)</x:f>
        <x:v>0</x:v>
      </x:c>
      <x:c r="D10" s="1" t="n">
        <x:f>SUMIFS($D$21:$D$120,$A$21:$A$120,A10)</x:f>
        <x:v>0</x:v>
      </x:c>
      <x:c r="E10" s="1" t="n">
        <x:f>C10-D10</x:f>
        <x:v>0</x:v>
      </x:c>
    </x:row>
    <x:row r="11" ht="28" customHeight="1">
      <x:c r="A11" s="1" t="str">
        <x:v>R07</x:v>
      </x:c>
      <x:c r="B11" s="1" t="str">
        <x:v>BR-07</x:v>
      </x:c>
      <x:c r="C11" s="1" t="n">
        <x:f>SUMIFS($C$21:$C$120,$A$21:$A$120,A11)</x:f>
        <x:v>0</x:v>
      </x:c>
      <x:c r="D11" s="1" t="n">
        <x:f>SUMIFS($D$21:$D$120,$A$21:$A$120,A11)</x:f>
        <x:v>0</x:v>
      </x:c>
      <x:c r="E11" s="1" t="n">
        <x:f>C11-D11</x:f>
        <x:v>0</x:v>
      </x:c>
    </x:row>
    <x:row r="12" ht="28" customHeight="1">
      <x:c r="A12" s="1" t="str">
        <x:v>R08</x:v>
      </x:c>
      <x:c r="B12" s="1" t="str">
        <x:v>BR-08</x:v>
      </x:c>
      <x:c r="C12" s="1" t="n">
        <x:f>SUMIFS($C$21:$C$120,$A$21:$A$120,A12)</x:f>
        <x:v>0</x:v>
      </x:c>
      <x:c r="D12" s="1" t="n">
        <x:f>SUMIFS($D$21:$D$120,$A$21:$A$120,A12)</x:f>
        <x:v>0</x:v>
      </x:c>
      <x:c r="E12" s="1" t="n">
        <x:f>C12-D12</x:f>
        <x:v>0</x:v>
      </x:c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 t="str">
        <x:v>Amber = editable. White = formula. Add one requirement–test pair per row below.</x:v>
      </x:c>
      <x:c r="B15" s="1"/>
      <x:c r="C15" s="1"/>
      <x:c r="D15" s="1"/>
      <x:c r="E15" s="1"/>
    </x:row>
    <x:row r="16">
      <x:c r="A16" s="1" t="str">
        <x:v>Duplicate links and unknown/duplicate Test IDs are excluded. Executed does not mean passed.</x:v>
      </x:c>
      <x:c r="B16" s="1"/>
      <x:c r="C16" s="1"/>
      <x:c r="D16" s="1"/>
      <x:c r="E16" s="1"/>
    </x:row>
    <x:row r="17">
      <x:c r="A17" s="1" t="str">
        <x:v>Capacity: 80 cases / 80 runs / 100 links. Extend tables AND formula ranges for more rows.</x:v>
      </x:c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 ht="36" customHeight="1">
      <x:c r="A20" s="6" t="str">
        <x:v>Requirement ID</x:v>
      </x:c>
      <x:c r="B20" s="6" t="str">
        <x:v>Test ID</x:v>
      </x:c>
      <x:c r="C20" s="6" t="str">
        <x:v>Valid unique link</x:v>
      </x:c>
      <x:c r="D20" s="6" t="str">
        <x:v>Executed (0/1)</x:v>
      </x:c>
      <x:c r="E20" s="6" t="str">
        <x:v>Link check</x:v>
      </x:c>
    </x:row>
    <x:row r="21" ht="27" customHeight="1">
      <x:c r="A21" s="8"/>
      <x:c r="B21" s="8"/>
      <x:c r="C21" s="1" t="n">
        <x:f>IF(OR(A21="",B21=""),0,IF(AND(COUNTIFS($A$5:$A$12,A21)=1,COUNTIFS('Test Cases'!$A$5:$A$84,B21)=1,COUNTIFS($A$21:A21,A21,$B$21:B21,B21)=1),1,0))</x:f>
        <x:v>0</x:v>
      </x:c>
      <x:c r="D21" s="1" t="n">
        <x:f>IF(C21=0,0,IF(COUNTIFS(Executions!$B$5:$B$84,B21,Executions!$G$5:$G$84,"PASS")+COUNTIFS(Executions!$B$5:$B$84,B21,Executions!$G$5:$G$84,"FAIL")&gt;0,1,0))</x:f>
        <x:v>0</x:v>
      </x:c>
      <x:c r="E21" s="1" t="str">
        <x:f>IF(AND(A21="",B21=""),"",IF(C21=1,"Linked","Check IDs / duplicate"))</x:f>
      </x:c>
    </x:row>
    <x:row r="22" ht="27" customHeight="1">
      <x:c r="A22" s="8"/>
      <x:c r="B22" s="8"/>
      <x:c r="C22" s="1" t="n">
        <x:f>IF(OR(A22="",B22=""),0,IF(AND(COUNTIFS($A$5:$A$12,A22)=1,COUNTIFS('Test Cases'!$A$5:$A$84,B22)=1,COUNTIFS($A$21:A22,A22,$B$21:B22,B22)=1),1,0))</x:f>
        <x:v>0</x:v>
      </x:c>
      <x:c r="D22" s="1" t="n">
        <x:f>IF(C22=0,0,IF(COUNTIFS(Executions!$B$5:$B$84,B22,Executions!$G$5:$G$84,"PASS")+COUNTIFS(Executions!$B$5:$B$84,B22,Executions!$G$5:$G$84,"FAIL")&gt;0,1,0))</x:f>
        <x:v>0</x:v>
      </x:c>
      <x:c r="E22" s="1" t="str">
        <x:f>IF(AND(A22="",B22=""),"",IF(C22=1,"Linked","Check IDs / duplicate"))</x:f>
      </x:c>
    </x:row>
    <x:row r="23" ht="27" customHeight="1">
      <x:c r="A23" s="8"/>
      <x:c r="B23" s="8"/>
      <x:c r="C23" s="1" t="n">
        <x:f>IF(OR(A23="",B23=""),0,IF(AND(COUNTIFS($A$5:$A$12,A23)=1,COUNTIFS('Test Cases'!$A$5:$A$84,B23)=1,COUNTIFS($A$21:A23,A23,$B$21:B23,B23)=1),1,0))</x:f>
        <x:v>0</x:v>
      </x:c>
      <x:c r="D23" s="1" t="n">
        <x:f>IF(C23=0,0,IF(COUNTIFS(Executions!$B$5:$B$84,B23,Executions!$G$5:$G$84,"PASS")+COUNTIFS(Executions!$B$5:$B$84,B23,Executions!$G$5:$G$84,"FAIL")&gt;0,1,0))</x:f>
        <x:v>0</x:v>
      </x:c>
      <x:c r="E23" s="1" t="str">
        <x:f>IF(AND(A23="",B23=""),"",IF(C23=1,"Linked","Check IDs / duplicate"))</x:f>
      </x:c>
    </x:row>
    <x:row r="24" ht="27" customHeight="1">
      <x:c r="A24" s="8"/>
      <x:c r="B24" s="8"/>
      <x:c r="C24" s="1" t="n">
        <x:f>IF(OR(A24="",B24=""),0,IF(AND(COUNTIFS($A$5:$A$12,A24)=1,COUNTIFS('Test Cases'!$A$5:$A$84,B24)=1,COUNTIFS($A$21:A24,A24,$B$21:B24,B24)=1),1,0))</x:f>
        <x:v>0</x:v>
      </x:c>
      <x:c r="D24" s="1" t="n">
        <x:f>IF(C24=0,0,IF(COUNTIFS(Executions!$B$5:$B$84,B24,Executions!$G$5:$G$84,"PASS")+COUNTIFS(Executions!$B$5:$B$84,B24,Executions!$G$5:$G$84,"FAIL")&gt;0,1,0))</x:f>
        <x:v>0</x:v>
      </x:c>
      <x:c r="E24" s="1" t="str">
        <x:f>IF(AND(A24="",B24=""),"",IF(C24=1,"Linked","Check IDs / duplicate"))</x:f>
      </x:c>
    </x:row>
    <x:row r="25" ht="27" customHeight="1">
      <x:c r="A25" s="8"/>
      <x:c r="B25" s="8"/>
      <x:c r="C25" s="1" t="n">
        <x:f>IF(OR(A25="",B25=""),0,IF(AND(COUNTIFS($A$5:$A$12,A25)=1,COUNTIFS('Test Cases'!$A$5:$A$84,B25)=1,COUNTIFS($A$21:A25,A25,$B$21:B25,B25)=1),1,0))</x:f>
        <x:v>0</x:v>
      </x:c>
      <x:c r="D25" s="1" t="n">
        <x:f>IF(C25=0,0,IF(COUNTIFS(Executions!$B$5:$B$84,B25,Executions!$G$5:$G$84,"PASS")+COUNTIFS(Executions!$B$5:$B$84,B25,Executions!$G$5:$G$84,"FAIL")&gt;0,1,0))</x:f>
        <x:v>0</x:v>
      </x:c>
      <x:c r="E25" s="1" t="str">
        <x:f>IF(AND(A25="",B25=""),"",IF(C25=1,"Linked","Check IDs / duplicate"))</x:f>
      </x:c>
    </x:row>
    <x:row r="26" ht="27" customHeight="1">
      <x:c r="A26" s="8"/>
      <x:c r="B26" s="8"/>
      <x:c r="C26" s="1" t="n">
        <x:f>IF(OR(A26="",B26=""),0,IF(AND(COUNTIFS($A$5:$A$12,A26)=1,COUNTIFS('Test Cases'!$A$5:$A$84,B26)=1,COUNTIFS($A$21:A26,A26,$B$21:B26,B26)=1),1,0))</x:f>
        <x:v>0</x:v>
      </x:c>
      <x:c r="D26" s="1" t="n">
        <x:f>IF(C26=0,0,IF(COUNTIFS(Executions!$B$5:$B$84,B26,Executions!$G$5:$G$84,"PASS")+COUNTIFS(Executions!$B$5:$B$84,B26,Executions!$G$5:$G$84,"FAIL")&gt;0,1,0))</x:f>
        <x:v>0</x:v>
      </x:c>
      <x:c r="E26" s="1" t="str">
        <x:f>IF(AND(A26="",B26=""),"",IF(C26=1,"Linked","Check IDs / duplicate"))</x:f>
      </x:c>
    </x:row>
    <x:row r="27" ht="27" customHeight="1">
      <x:c r="A27" s="8"/>
      <x:c r="B27" s="8"/>
      <x:c r="C27" s="1" t="n">
        <x:f>IF(OR(A27="",B27=""),0,IF(AND(COUNTIFS($A$5:$A$12,A27)=1,COUNTIFS('Test Cases'!$A$5:$A$84,B27)=1,COUNTIFS($A$21:A27,A27,$B$21:B27,B27)=1),1,0))</x:f>
        <x:v>0</x:v>
      </x:c>
      <x:c r="D27" s="1" t="n">
        <x:f>IF(C27=0,0,IF(COUNTIFS(Executions!$B$5:$B$84,B27,Executions!$G$5:$G$84,"PASS")+COUNTIFS(Executions!$B$5:$B$84,B27,Executions!$G$5:$G$84,"FAIL")&gt;0,1,0))</x:f>
        <x:v>0</x:v>
      </x:c>
      <x:c r="E27" s="1" t="str">
        <x:f>IF(AND(A27="",B27=""),"",IF(C27=1,"Linked","Check IDs / duplicate"))</x:f>
      </x:c>
    </x:row>
    <x:row r="28" ht="27" customHeight="1">
      <x:c r="A28" s="8"/>
      <x:c r="B28" s="8"/>
      <x:c r="C28" s="1" t="n">
        <x:f>IF(OR(A28="",B28=""),0,IF(AND(COUNTIFS($A$5:$A$12,A28)=1,COUNTIFS('Test Cases'!$A$5:$A$84,B28)=1,COUNTIFS($A$21:A28,A28,$B$21:B28,B28)=1),1,0))</x:f>
        <x:v>0</x:v>
      </x:c>
      <x:c r="D28" s="1" t="n">
        <x:f>IF(C28=0,0,IF(COUNTIFS(Executions!$B$5:$B$84,B28,Executions!$G$5:$G$84,"PASS")+COUNTIFS(Executions!$B$5:$B$84,B28,Executions!$G$5:$G$84,"FAIL")&gt;0,1,0))</x:f>
        <x:v>0</x:v>
      </x:c>
      <x:c r="E28" s="1" t="str">
        <x:f>IF(AND(A28="",B28=""),"",IF(C28=1,"Linked","Check IDs / duplicate"))</x:f>
      </x:c>
    </x:row>
    <x:row r="29" ht="27" customHeight="1">
      <x:c r="A29" s="8"/>
      <x:c r="B29" s="8"/>
      <x:c r="C29" s="1" t="n">
        <x:f>IF(OR(A29="",B29=""),0,IF(AND(COUNTIFS($A$5:$A$12,A29)=1,COUNTIFS('Test Cases'!$A$5:$A$84,B29)=1,COUNTIFS($A$21:A29,A29,$B$21:B29,B29)=1),1,0))</x:f>
        <x:v>0</x:v>
      </x:c>
      <x:c r="D29" s="1" t="n">
        <x:f>IF(C29=0,0,IF(COUNTIFS(Executions!$B$5:$B$84,B29,Executions!$G$5:$G$84,"PASS")+COUNTIFS(Executions!$B$5:$B$84,B29,Executions!$G$5:$G$84,"FAIL")&gt;0,1,0))</x:f>
        <x:v>0</x:v>
      </x:c>
      <x:c r="E29" s="1" t="str">
        <x:f>IF(AND(A29="",B29=""),"",IF(C29=1,"Linked","Check IDs / duplicate"))</x:f>
      </x:c>
    </x:row>
    <x:row r="30" ht="27" customHeight="1">
      <x:c r="A30" s="8"/>
      <x:c r="B30" s="8"/>
      <x:c r="C30" s="1" t="n">
        <x:f>IF(OR(A30="",B30=""),0,IF(AND(COUNTIFS($A$5:$A$12,A30)=1,COUNTIFS('Test Cases'!$A$5:$A$84,B30)=1,COUNTIFS($A$21:A30,A30,$B$21:B30,B30)=1),1,0))</x:f>
        <x:v>0</x:v>
      </x:c>
      <x:c r="D30" s="1" t="n">
        <x:f>IF(C30=0,0,IF(COUNTIFS(Executions!$B$5:$B$84,B30,Executions!$G$5:$G$84,"PASS")+COUNTIFS(Executions!$B$5:$B$84,B30,Executions!$G$5:$G$84,"FAIL")&gt;0,1,0))</x:f>
        <x:v>0</x:v>
      </x:c>
      <x:c r="E30" s="1" t="str">
        <x:f>IF(AND(A30="",B30=""),"",IF(C30=1,"Linked","Check IDs / duplicate"))</x:f>
      </x:c>
    </x:row>
    <x:row r="31" ht="27" customHeight="1">
      <x:c r="A31" s="8"/>
      <x:c r="B31" s="8"/>
      <x:c r="C31" s="1" t="n">
        <x:f>IF(OR(A31="",B31=""),0,IF(AND(COUNTIFS($A$5:$A$12,A31)=1,COUNTIFS('Test Cases'!$A$5:$A$84,B31)=1,COUNTIFS($A$21:A31,A31,$B$21:B31,B31)=1),1,0))</x:f>
        <x:v>0</x:v>
      </x:c>
      <x:c r="D31" s="1" t="n">
        <x:f>IF(C31=0,0,IF(COUNTIFS(Executions!$B$5:$B$84,B31,Executions!$G$5:$G$84,"PASS")+COUNTIFS(Executions!$B$5:$B$84,B31,Executions!$G$5:$G$84,"FAIL")&gt;0,1,0))</x:f>
        <x:v>0</x:v>
      </x:c>
      <x:c r="E31" s="1" t="str">
        <x:f>IF(AND(A31="",B31=""),"",IF(C31=1,"Linked","Check IDs / duplicate"))</x:f>
      </x:c>
    </x:row>
    <x:row r="32" ht="27" customHeight="1">
      <x:c r="A32" s="8"/>
      <x:c r="B32" s="8"/>
      <x:c r="C32" s="1" t="n">
        <x:f>IF(OR(A32="",B32=""),0,IF(AND(COUNTIFS($A$5:$A$12,A32)=1,COUNTIFS('Test Cases'!$A$5:$A$84,B32)=1,COUNTIFS($A$21:A32,A32,$B$21:B32,B32)=1),1,0))</x:f>
        <x:v>0</x:v>
      </x:c>
      <x:c r="D32" s="1" t="n">
        <x:f>IF(C32=0,0,IF(COUNTIFS(Executions!$B$5:$B$84,B32,Executions!$G$5:$G$84,"PASS")+COUNTIFS(Executions!$B$5:$B$84,B32,Executions!$G$5:$G$84,"FAIL")&gt;0,1,0))</x:f>
        <x:v>0</x:v>
      </x:c>
      <x:c r="E32" s="1" t="str">
        <x:f>IF(AND(A32="",B32=""),"",IF(C32=1,"Linked","Check IDs / duplicate"))</x:f>
      </x:c>
    </x:row>
    <x:row r="33" ht="27" customHeight="1">
      <x:c r="A33" s="8"/>
      <x:c r="B33" s="8"/>
      <x:c r="C33" s="1" t="n">
        <x:f>IF(OR(A33="",B33=""),0,IF(AND(COUNTIFS($A$5:$A$12,A33)=1,COUNTIFS('Test Cases'!$A$5:$A$84,B33)=1,COUNTIFS($A$21:A33,A33,$B$21:B33,B33)=1),1,0))</x:f>
        <x:v>0</x:v>
      </x:c>
      <x:c r="D33" s="1" t="n">
        <x:f>IF(C33=0,0,IF(COUNTIFS(Executions!$B$5:$B$84,B33,Executions!$G$5:$G$84,"PASS")+COUNTIFS(Executions!$B$5:$B$84,B33,Executions!$G$5:$G$84,"FAIL")&gt;0,1,0))</x:f>
        <x:v>0</x:v>
      </x:c>
      <x:c r="E33" s="1" t="str">
        <x:f>IF(AND(A33="",B33=""),"",IF(C33=1,"Linked","Check IDs / duplicate"))</x:f>
      </x:c>
    </x:row>
    <x:row r="34" ht="27" customHeight="1">
      <x:c r="A34" s="8"/>
      <x:c r="B34" s="8"/>
      <x:c r="C34" s="1" t="n">
        <x:f>IF(OR(A34="",B34=""),0,IF(AND(COUNTIFS($A$5:$A$12,A34)=1,COUNTIFS('Test Cases'!$A$5:$A$84,B34)=1,COUNTIFS($A$21:A34,A34,$B$21:B34,B34)=1),1,0))</x:f>
        <x:v>0</x:v>
      </x:c>
      <x:c r="D34" s="1" t="n">
        <x:f>IF(C34=0,0,IF(COUNTIFS(Executions!$B$5:$B$84,B34,Executions!$G$5:$G$84,"PASS")+COUNTIFS(Executions!$B$5:$B$84,B34,Executions!$G$5:$G$84,"FAIL")&gt;0,1,0))</x:f>
        <x:v>0</x:v>
      </x:c>
      <x:c r="E34" s="1" t="str">
        <x:f>IF(AND(A34="",B34=""),"",IF(C34=1,"Linked","Check IDs / duplicate"))</x:f>
      </x:c>
    </x:row>
    <x:row r="35" ht="27" customHeight="1">
      <x:c r="A35" s="8"/>
      <x:c r="B35" s="8"/>
      <x:c r="C35" s="1" t="n">
        <x:f>IF(OR(A35="",B35=""),0,IF(AND(COUNTIFS($A$5:$A$12,A35)=1,COUNTIFS('Test Cases'!$A$5:$A$84,B35)=1,COUNTIFS($A$21:A35,A35,$B$21:B35,B35)=1),1,0))</x:f>
        <x:v>0</x:v>
      </x:c>
      <x:c r="D35" s="1" t="n">
        <x:f>IF(C35=0,0,IF(COUNTIFS(Executions!$B$5:$B$84,B35,Executions!$G$5:$G$84,"PASS")+COUNTIFS(Executions!$B$5:$B$84,B35,Executions!$G$5:$G$84,"FAIL")&gt;0,1,0))</x:f>
        <x:v>0</x:v>
      </x:c>
      <x:c r="E35" s="1" t="str">
        <x:f>IF(AND(A35="",B35=""),"",IF(C35=1,"Linked","Check IDs / duplicate"))</x:f>
      </x:c>
    </x:row>
    <x:row r="36" ht="27" customHeight="1">
      <x:c r="A36" s="8"/>
      <x:c r="B36" s="8"/>
      <x:c r="C36" s="1" t="n">
        <x:f>IF(OR(A36="",B36=""),0,IF(AND(COUNTIFS($A$5:$A$12,A36)=1,COUNTIFS('Test Cases'!$A$5:$A$84,B36)=1,COUNTIFS($A$21:A36,A36,$B$21:B36,B36)=1),1,0))</x:f>
        <x:v>0</x:v>
      </x:c>
      <x:c r="D36" s="1" t="n">
        <x:f>IF(C36=0,0,IF(COUNTIFS(Executions!$B$5:$B$84,B36,Executions!$G$5:$G$84,"PASS")+COUNTIFS(Executions!$B$5:$B$84,B36,Executions!$G$5:$G$84,"FAIL")&gt;0,1,0))</x:f>
        <x:v>0</x:v>
      </x:c>
      <x:c r="E36" s="1" t="str">
        <x:f>IF(AND(A36="",B36=""),"",IF(C36=1,"Linked","Check IDs / duplicate"))</x:f>
      </x:c>
    </x:row>
    <x:row r="37" ht="27" customHeight="1">
      <x:c r="A37" s="8"/>
      <x:c r="B37" s="8"/>
      <x:c r="C37" s="1" t="n">
        <x:f>IF(OR(A37="",B37=""),0,IF(AND(COUNTIFS($A$5:$A$12,A37)=1,COUNTIFS('Test Cases'!$A$5:$A$84,B37)=1,COUNTIFS($A$21:A37,A37,$B$21:B37,B37)=1),1,0))</x:f>
        <x:v>0</x:v>
      </x:c>
      <x:c r="D37" s="1" t="n">
        <x:f>IF(C37=0,0,IF(COUNTIFS(Executions!$B$5:$B$84,B37,Executions!$G$5:$G$84,"PASS")+COUNTIFS(Executions!$B$5:$B$84,B37,Executions!$G$5:$G$84,"FAIL")&gt;0,1,0))</x:f>
        <x:v>0</x:v>
      </x:c>
      <x:c r="E37" s="1" t="str">
        <x:f>IF(AND(A37="",B37=""),"",IF(C37=1,"Linked","Check IDs / duplicate"))</x:f>
      </x:c>
    </x:row>
    <x:row r="38" ht="27" customHeight="1">
      <x:c r="A38" s="8"/>
      <x:c r="B38" s="8"/>
      <x:c r="C38" s="1" t="n">
        <x:f>IF(OR(A38="",B38=""),0,IF(AND(COUNTIFS($A$5:$A$12,A38)=1,COUNTIFS('Test Cases'!$A$5:$A$84,B38)=1,COUNTIFS($A$21:A38,A38,$B$21:B38,B38)=1),1,0))</x:f>
        <x:v>0</x:v>
      </x:c>
      <x:c r="D38" s="1" t="n">
        <x:f>IF(C38=0,0,IF(COUNTIFS(Executions!$B$5:$B$84,B38,Executions!$G$5:$G$84,"PASS")+COUNTIFS(Executions!$B$5:$B$84,B38,Executions!$G$5:$G$84,"FAIL")&gt;0,1,0))</x:f>
        <x:v>0</x:v>
      </x:c>
      <x:c r="E38" s="1" t="str">
        <x:f>IF(AND(A38="",B38=""),"",IF(C38=1,"Linked","Check IDs / duplicate"))</x:f>
      </x:c>
    </x:row>
    <x:row r="39" ht="27" customHeight="1">
      <x:c r="A39" s="8"/>
      <x:c r="B39" s="8"/>
      <x:c r="C39" s="1" t="n">
        <x:f>IF(OR(A39="",B39=""),0,IF(AND(COUNTIFS($A$5:$A$12,A39)=1,COUNTIFS('Test Cases'!$A$5:$A$84,B39)=1,COUNTIFS($A$21:A39,A39,$B$21:B39,B39)=1),1,0))</x:f>
        <x:v>0</x:v>
      </x:c>
      <x:c r="D39" s="1" t="n">
        <x:f>IF(C39=0,0,IF(COUNTIFS(Executions!$B$5:$B$84,B39,Executions!$G$5:$G$84,"PASS")+COUNTIFS(Executions!$B$5:$B$84,B39,Executions!$G$5:$G$84,"FAIL")&gt;0,1,0))</x:f>
        <x:v>0</x:v>
      </x:c>
      <x:c r="E39" s="1" t="str">
        <x:f>IF(AND(A39="",B39=""),"",IF(C39=1,"Linked","Check IDs / duplicate"))</x:f>
      </x:c>
    </x:row>
    <x:row r="40" ht="27" customHeight="1">
      <x:c r="A40" s="8"/>
      <x:c r="B40" s="8"/>
      <x:c r="C40" s="1" t="n">
        <x:f>IF(OR(A40="",B40=""),0,IF(AND(COUNTIFS($A$5:$A$12,A40)=1,COUNTIFS('Test Cases'!$A$5:$A$84,B40)=1,COUNTIFS($A$21:A40,A40,$B$21:B40,B40)=1),1,0))</x:f>
        <x:v>0</x:v>
      </x:c>
      <x:c r="D40" s="1" t="n">
        <x:f>IF(C40=0,0,IF(COUNTIFS(Executions!$B$5:$B$84,B40,Executions!$G$5:$G$84,"PASS")+COUNTIFS(Executions!$B$5:$B$84,B40,Executions!$G$5:$G$84,"FAIL")&gt;0,1,0))</x:f>
        <x:v>0</x:v>
      </x:c>
      <x:c r="E40" s="1" t="str">
        <x:f>IF(AND(A40="",B40=""),"",IF(C40=1,"Linked","Check IDs / duplicate"))</x:f>
      </x:c>
    </x:row>
    <x:row r="41" ht="27" customHeight="1">
      <x:c r="A41" s="8"/>
      <x:c r="B41" s="8"/>
      <x:c r="C41" s="1" t="n">
        <x:f>IF(OR(A41="",B41=""),0,IF(AND(COUNTIFS($A$5:$A$12,A41)=1,COUNTIFS('Test Cases'!$A$5:$A$84,B41)=1,COUNTIFS($A$21:A41,A41,$B$21:B41,B41)=1),1,0))</x:f>
        <x:v>0</x:v>
      </x:c>
      <x:c r="D41" s="1" t="n">
        <x:f>IF(C41=0,0,IF(COUNTIFS(Executions!$B$5:$B$84,B41,Executions!$G$5:$G$84,"PASS")+COUNTIFS(Executions!$B$5:$B$84,B41,Executions!$G$5:$G$84,"FAIL")&gt;0,1,0))</x:f>
        <x:v>0</x:v>
      </x:c>
      <x:c r="E41" s="1" t="str">
        <x:f>IF(AND(A41="",B41=""),"",IF(C41=1,"Linked","Check IDs / duplicate"))</x:f>
      </x:c>
    </x:row>
    <x:row r="42" ht="27" customHeight="1">
      <x:c r="A42" s="8"/>
      <x:c r="B42" s="8"/>
      <x:c r="C42" s="1" t="n">
        <x:f>IF(OR(A42="",B42=""),0,IF(AND(COUNTIFS($A$5:$A$12,A42)=1,COUNTIFS('Test Cases'!$A$5:$A$84,B42)=1,COUNTIFS($A$21:A42,A42,$B$21:B42,B42)=1),1,0))</x:f>
        <x:v>0</x:v>
      </x:c>
      <x:c r="D42" s="1" t="n">
        <x:f>IF(C42=0,0,IF(COUNTIFS(Executions!$B$5:$B$84,B42,Executions!$G$5:$G$84,"PASS")+COUNTIFS(Executions!$B$5:$B$84,B42,Executions!$G$5:$G$84,"FAIL")&gt;0,1,0))</x:f>
        <x:v>0</x:v>
      </x:c>
      <x:c r="E42" s="1" t="str">
        <x:f>IF(AND(A42="",B42=""),"",IF(C42=1,"Linked","Check IDs / duplicate"))</x:f>
      </x:c>
    </x:row>
    <x:row r="43" ht="27" customHeight="1">
      <x:c r="A43" s="8"/>
      <x:c r="B43" s="8"/>
      <x:c r="C43" s="1" t="n">
        <x:f>IF(OR(A43="",B43=""),0,IF(AND(COUNTIFS($A$5:$A$12,A43)=1,COUNTIFS('Test Cases'!$A$5:$A$84,B43)=1,COUNTIFS($A$21:A43,A43,$B$21:B43,B43)=1),1,0))</x:f>
        <x:v>0</x:v>
      </x:c>
      <x:c r="D43" s="1" t="n">
        <x:f>IF(C43=0,0,IF(COUNTIFS(Executions!$B$5:$B$84,B43,Executions!$G$5:$G$84,"PASS")+COUNTIFS(Executions!$B$5:$B$84,B43,Executions!$G$5:$G$84,"FAIL")&gt;0,1,0))</x:f>
        <x:v>0</x:v>
      </x:c>
      <x:c r="E43" s="1" t="str">
        <x:f>IF(AND(A43="",B43=""),"",IF(C43=1,"Linked","Check IDs / duplicate"))</x:f>
      </x:c>
    </x:row>
    <x:row r="44" ht="27" customHeight="1">
      <x:c r="A44" s="8"/>
      <x:c r="B44" s="8"/>
      <x:c r="C44" s="1" t="n">
        <x:f>IF(OR(A44="",B44=""),0,IF(AND(COUNTIFS($A$5:$A$12,A44)=1,COUNTIFS('Test Cases'!$A$5:$A$84,B44)=1,COUNTIFS($A$21:A44,A44,$B$21:B44,B44)=1),1,0))</x:f>
        <x:v>0</x:v>
      </x:c>
      <x:c r="D44" s="1" t="n">
        <x:f>IF(C44=0,0,IF(COUNTIFS(Executions!$B$5:$B$84,B44,Executions!$G$5:$G$84,"PASS")+COUNTIFS(Executions!$B$5:$B$84,B44,Executions!$G$5:$G$84,"FAIL")&gt;0,1,0))</x:f>
        <x:v>0</x:v>
      </x:c>
      <x:c r="E44" s="1" t="str">
        <x:f>IF(AND(A44="",B44=""),"",IF(C44=1,"Linked","Check IDs / duplicate"))</x:f>
      </x:c>
    </x:row>
    <x:row r="45" ht="27" customHeight="1">
      <x:c r="A45" s="8"/>
      <x:c r="B45" s="8"/>
      <x:c r="C45" s="1" t="n">
        <x:f>IF(OR(A45="",B45=""),0,IF(AND(COUNTIFS($A$5:$A$12,A45)=1,COUNTIFS('Test Cases'!$A$5:$A$84,B45)=1,COUNTIFS($A$21:A45,A45,$B$21:B45,B45)=1),1,0))</x:f>
        <x:v>0</x:v>
      </x:c>
      <x:c r="D45" s="1" t="n">
        <x:f>IF(C45=0,0,IF(COUNTIFS(Executions!$B$5:$B$84,B45,Executions!$G$5:$G$84,"PASS")+COUNTIFS(Executions!$B$5:$B$84,B45,Executions!$G$5:$G$84,"FAIL")&gt;0,1,0))</x:f>
        <x:v>0</x:v>
      </x:c>
      <x:c r="E45" s="1" t="str">
        <x:f>IF(AND(A45="",B45=""),"",IF(C45=1,"Linked","Check IDs / duplicate"))</x:f>
      </x:c>
    </x:row>
    <x:row r="46" ht="27" customHeight="1">
      <x:c r="A46" s="8"/>
      <x:c r="B46" s="8"/>
      <x:c r="C46" s="1" t="n">
        <x:f>IF(OR(A46="",B46=""),0,IF(AND(COUNTIFS($A$5:$A$12,A46)=1,COUNTIFS('Test Cases'!$A$5:$A$84,B46)=1,COUNTIFS($A$21:A46,A46,$B$21:B46,B46)=1),1,0))</x:f>
        <x:v>0</x:v>
      </x:c>
      <x:c r="D46" s="1" t="n">
        <x:f>IF(C46=0,0,IF(COUNTIFS(Executions!$B$5:$B$84,B46,Executions!$G$5:$G$84,"PASS")+COUNTIFS(Executions!$B$5:$B$84,B46,Executions!$G$5:$G$84,"FAIL")&gt;0,1,0))</x:f>
        <x:v>0</x:v>
      </x:c>
      <x:c r="E46" s="1" t="str">
        <x:f>IF(AND(A46="",B46=""),"",IF(C46=1,"Linked","Check IDs / duplicate"))</x:f>
      </x:c>
    </x:row>
    <x:row r="47" ht="27" customHeight="1">
      <x:c r="A47" s="8"/>
      <x:c r="B47" s="8"/>
      <x:c r="C47" s="1" t="n">
        <x:f>IF(OR(A47="",B47=""),0,IF(AND(COUNTIFS($A$5:$A$12,A47)=1,COUNTIFS('Test Cases'!$A$5:$A$84,B47)=1,COUNTIFS($A$21:A47,A47,$B$21:B47,B47)=1),1,0))</x:f>
        <x:v>0</x:v>
      </x:c>
      <x:c r="D47" s="1" t="n">
        <x:f>IF(C47=0,0,IF(COUNTIFS(Executions!$B$5:$B$84,B47,Executions!$G$5:$G$84,"PASS")+COUNTIFS(Executions!$B$5:$B$84,B47,Executions!$G$5:$G$84,"FAIL")&gt;0,1,0))</x:f>
        <x:v>0</x:v>
      </x:c>
      <x:c r="E47" s="1" t="str">
        <x:f>IF(AND(A47="",B47=""),"",IF(C47=1,"Linked","Check IDs / duplicate"))</x:f>
      </x:c>
    </x:row>
    <x:row r="48" ht="27" customHeight="1">
      <x:c r="A48" s="8"/>
      <x:c r="B48" s="8"/>
      <x:c r="C48" s="1" t="n">
        <x:f>IF(OR(A48="",B48=""),0,IF(AND(COUNTIFS($A$5:$A$12,A48)=1,COUNTIFS('Test Cases'!$A$5:$A$84,B48)=1,COUNTIFS($A$21:A48,A48,$B$21:B48,B48)=1),1,0))</x:f>
        <x:v>0</x:v>
      </x:c>
      <x:c r="D48" s="1" t="n">
        <x:f>IF(C48=0,0,IF(COUNTIFS(Executions!$B$5:$B$84,B48,Executions!$G$5:$G$84,"PASS")+COUNTIFS(Executions!$B$5:$B$84,B48,Executions!$G$5:$G$84,"FAIL")&gt;0,1,0))</x:f>
        <x:v>0</x:v>
      </x:c>
      <x:c r="E48" s="1" t="str">
        <x:f>IF(AND(A48="",B48=""),"",IF(C48=1,"Linked","Check IDs / duplicate"))</x:f>
      </x:c>
    </x:row>
    <x:row r="49" ht="27" customHeight="1">
      <x:c r="A49" s="8"/>
      <x:c r="B49" s="8"/>
      <x:c r="C49" s="1" t="n">
        <x:f>IF(OR(A49="",B49=""),0,IF(AND(COUNTIFS($A$5:$A$12,A49)=1,COUNTIFS('Test Cases'!$A$5:$A$84,B49)=1,COUNTIFS($A$21:A49,A49,$B$21:B49,B49)=1),1,0))</x:f>
        <x:v>0</x:v>
      </x:c>
      <x:c r="D49" s="1" t="n">
        <x:f>IF(C49=0,0,IF(COUNTIFS(Executions!$B$5:$B$84,B49,Executions!$G$5:$G$84,"PASS")+COUNTIFS(Executions!$B$5:$B$84,B49,Executions!$G$5:$G$84,"FAIL")&gt;0,1,0))</x:f>
        <x:v>0</x:v>
      </x:c>
      <x:c r="E49" s="1" t="str">
        <x:f>IF(AND(A49="",B49=""),"",IF(C49=1,"Linked","Check IDs / duplicate"))</x:f>
      </x:c>
    </x:row>
    <x:row r="50" ht="27" customHeight="1">
      <x:c r="A50" s="8"/>
      <x:c r="B50" s="8"/>
      <x:c r="C50" s="1" t="n">
        <x:f>IF(OR(A50="",B50=""),0,IF(AND(COUNTIFS($A$5:$A$12,A50)=1,COUNTIFS('Test Cases'!$A$5:$A$84,B50)=1,COUNTIFS($A$21:A50,A50,$B$21:B50,B50)=1),1,0))</x:f>
        <x:v>0</x:v>
      </x:c>
      <x:c r="D50" s="1" t="n">
        <x:f>IF(C50=0,0,IF(COUNTIFS(Executions!$B$5:$B$84,B50,Executions!$G$5:$G$84,"PASS")+COUNTIFS(Executions!$B$5:$B$84,B50,Executions!$G$5:$G$84,"FAIL")&gt;0,1,0))</x:f>
        <x:v>0</x:v>
      </x:c>
      <x:c r="E50" s="1" t="str">
        <x:f>IF(AND(A50="",B50=""),"",IF(C50=1,"Linked","Check IDs / duplicate"))</x:f>
      </x:c>
    </x:row>
    <x:row r="51" ht="27" customHeight="1">
      <x:c r="A51" s="8"/>
      <x:c r="B51" s="8"/>
      <x:c r="C51" s="1" t="n">
        <x:f>IF(OR(A51="",B51=""),0,IF(AND(COUNTIFS($A$5:$A$12,A51)=1,COUNTIFS('Test Cases'!$A$5:$A$84,B51)=1,COUNTIFS($A$21:A51,A51,$B$21:B51,B51)=1),1,0))</x:f>
        <x:v>0</x:v>
      </x:c>
      <x:c r="D51" s="1" t="n">
        <x:f>IF(C51=0,0,IF(COUNTIFS(Executions!$B$5:$B$84,B51,Executions!$G$5:$G$84,"PASS")+COUNTIFS(Executions!$B$5:$B$84,B51,Executions!$G$5:$G$84,"FAIL")&gt;0,1,0))</x:f>
        <x:v>0</x:v>
      </x:c>
      <x:c r="E51" s="1" t="str">
        <x:f>IF(AND(A51="",B51=""),"",IF(C51=1,"Linked","Check IDs / duplicate"))</x:f>
      </x:c>
    </x:row>
    <x:row r="52" ht="27" customHeight="1">
      <x:c r="A52" s="8"/>
      <x:c r="B52" s="8"/>
      <x:c r="C52" s="1" t="n">
        <x:f>IF(OR(A52="",B52=""),0,IF(AND(COUNTIFS($A$5:$A$12,A52)=1,COUNTIFS('Test Cases'!$A$5:$A$84,B52)=1,COUNTIFS($A$21:A52,A52,$B$21:B52,B52)=1),1,0))</x:f>
        <x:v>0</x:v>
      </x:c>
      <x:c r="D52" s="1" t="n">
        <x:f>IF(C52=0,0,IF(COUNTIFS(Executions!$B$5:$B$84,B52,Executions!$G$5:$G$84,"PASS")+COUNTIFS(Executions!$B$5:$B$84,B52,Executions!$G$5:$G$84,"FAIL")&gt;0,1,0))</x:f>
        <x:v>0</x:v>
      </x:c>
      <x:c r="E52" s="1" t="str">
        <x:f>IF(AND(A52="",B52=""),"",IF(C52=1,"Linked","Check IDs / duplicate"))</x:f>
      </x:c>
    </x:row>
    <x:row r="53" ht="27" customHeight="1">
      <x:c r="A53" s="8"/>
      <x:c r="B53" s="8"/>
      <x:c r="C53" s="1" t="n">
        <x:f>IF(OR(A53="",B53=""),0,IF(AND(COUNTIFS($A$5:$A$12,A53)=1,COUNTIFS('Test Cases'!$A$5:$A$84,B53)=1,COUNTIFS($A$21:A53,A53,$B$21:B53,B53)=1),1,0))</x:f>
        <x:v>0</x:v>
      </x:c>
      <x:c r="D53" s="1" t="n">
        <x:f>IF(C53=0,0,IF(COUNTIFS(Executions!$B$5:$B$84,B53,Executions!$G$5:$G$84,"PASS")+COUNTIFS(Executions!$B$5:$B$84,B53,Executions!$G$5:$G$84,"FAIL")&gt;0,1,0))</x:f>
        <x:v>0</x:v>
      </x:c>
      <x:c r="E53" s="1" t="str">
        <x:f>IF(AND(A53="",B53=""),"",IF(C53=1,"Linked","Check IDs / duplicate"))</x:f>
      </x:c>
    </x:row>
    <x:row r="54" ht="27" customHeight="1">
      <x:c r="A54" s="8"/>
      <x:c r="B54" s="8"/>
      <x:c r="C54" s="1" t="n">
        <x:f>IF(OR(A54="",B54=""),0,IF(AND(COUNTIFS($A$5:$A$12,A54)=1,COUNTIFS('Test Cases'!$A$5:$A$84,B54)=1,COUNTIFS($A$21:A54,A54,$B$21:B54,B54)=1),1,0))</x:f>
        <x:v>0</x:v>
      </x:c>
      <x:c r="D54" s="1" t="n">
        <x:f>IF(C54=0,0,IF(COUNTIFS(Executions!$B$5:$B$84,B54,Executions!$G$5:$G$84,"PASS")+COUNTIFS(Executions!$B$5:$B$84,B54,Executions!$G$5:$G$84,"FAIL")&gt;0,1,0))</x:f>
        <x:v>0</x:v>
      </x:c>
      <x:c r="E54" s="1" t="str">
        <x:f>IF(AND(A54="",B54=""),"",IF(C54=1,"Linked","Check IDs / duplicate"))</x:f>
      </x:c>
    </x:row>
    <x:row r="55" ht="27" customHeight="1">
      <x:c r="A55" s="8"/>
      <x:c r="B55" s="8"/>
      <x:c r="C55" s="1" t="n">
        <x:f>IF(OR(A55="",B55=""),0,IF(AND(COUNTIFS($A$5:$A$12,A55)=1,COUNTIFS('Test Cases'!$A$5:$A$84,B55)=1,COUNTIFS($A$21:A55,A55,$B$21:B55,B55)=1),1,0))</x:f>
        <x:v>0</x:v>
      </x:c>
      <x:c r="D55" s="1" t="n">
        <x:f>IF(C55=0,0,IF(COUNTIFS(Executions!$B$5:$B$84,B55,Executions!$G$5:$G$84,"PASS")+COUNTIFS(Executions!$B$5:$B$84,B55,Executions!$G$5:$G$84,"FAIL")&gt;0,1,0))</x:f>
        <x:v>0</x:v>
      </x:c>
      <x:c r="E55" s="1" t="str">
        <x:f>IF(AND(A55="",B55=""),"",IF(C55=1,"Linked","Check IDs / duplicate"))</x:f>
      </x:c>
    </x:row>
    <x:row r="56" ht="27" customHeight="1">
      <x:c r="A56" s="8"/>
      <x:c r="B56" s="8"/>
      <x:c r="C56" s="1" t="n">
        <x:f>IF(OR(A56="",B56=""),0,IF(AND(COUNTIFS($A$5:$A$12,A56)=1,COUNTIFS('Test Cases'!$A$5:$A$84,B56)=1,COUNTIFS($A$21:A56,A56,$B$21:B56,B56)=1),1,0))</x:f>
        <x:v>0</x:v>
      </x:c>
      <x:c r="D56" s="1" t="n">
        <x:f>IF(C56=0,0,IF(COUNTIFS(Executions!$B$5:$B$84,B56,Executions!$G$5:$G$84,"PASS")+COUNTIFS(Executions!$B$5:$B$84,B56,Executions!$G$5:$G$84,"FAIL")&gt;0,1,0))</x:f>
        <x:v>0</x:v>
      </x:c>
      <x:c r="E56" s="1" t="str">
        <x:f>IF(AND(A56="",B56=""),"",IF(C56=1,"Linked","Check IDs / duplicate"))</x:f>
      </x:c>
    </x:row>
    <x:row r="57" ht="27" customHeight="1">
      <x:c r="A57" s="8"/>
      <x:c r="B57" s="8"/>
      <x:c r="C57" s="1" t="n">
        <x:f>IF(OR(A57="",B57=""),0,IF(AND(COUNTIFS($A$5:$A$12,A57)=1,COUNTIFS('Test Cases'!$A$5:$A$84,B57)=1,COUNTIFS($A$21:A57,A57,$B$21:B57,B57)=1),1,0))</x:f>
        <x:v>0</x:v>
      </x:c>
      <x:c r="D57" s="1" t="n">
        <x:f>IF(C57=0,0,IF(COUNTIFS(Executions!$B$5:$B$84,B57,Executions!$G$5:$G$84,"PASS")+COUNTIFS(Executions!$B$5:$B$84,B57,Executions!$G$5:$G$84,"FAIL")&gt;0,1,0))</x:f>
        <x:v>0</x:v>
      </x:c>
      <x:c r="E57" s="1" t="str">
        <x:f>IF(AND(A57="",B57=""),"",IF(C57=1,"Linked","Check IDs / duplicate"))</x:f>
      </x:c>
    </x:row>
    <x:row r="58" ht="27" customHeight="1">
      <x:c r="A58" s="8"/>
      <x:c r="B58" s="8"/>
      <x:c r="C58" s="1" t="n">
        <x:f>IF(OR(A58="",B58=""),0,IF(AND(COUNTIFS($A$5:$A$12,A58)=1,COUNTIFS('Test Cases'!$A$5:$A$84,B58)=1,COUNTIFS($A$21:A58,A58,$B$21:B58,B58)=1),1,0))</x:f>
        <x:v>0</x:v>
      </x:c>
      <x:c r="D58" s="1" t="n">
        <x:f>IF(C58=0,0,IF(COUNTIFS(Executions!$B$5:$B$84,B58,Executions!$G$5:$G$84,"PASS")+COUNTIFS(Executions!$B$5:$B$84,B58,Executions!$G$5:$G$84,"FAIL")&gt;0,1,0))</x:f>
        <x:v>0</x:v>
      </x:c>
      <x:c r="E58" s="1" t="str">
        <x:f>IF(AND(A58="",B58=""),"",IF(C58=1,"Linked","Check IDs / duplicate"))</x:f>
      </x:c>
    </x:row>
    <x:row r="59" ht="27" customHeight="1">
      <x:c r="A59" s="8"/>
      <x:c r="B59" s="8"/>
      <x:c r="C59" s="1" t="n">
        <x:f>IF(OR(A59="",B59=""),0,IF(AND(COUNTIFS($A$5:$A$12,A59)=1,COUNTIFS('Test Cases'!$A$5:$A$84,B59)=1,COUNTIFS($A$21:A59,A59,$B$21:B59,B59)=1),1,0))</x:f>
        <x:v>0</x:v>
      </x:c>
      <x:c r="D59" s="1" t="n">
        <x:f>IF(C59=0,0,IF(COUNTIFS(Executions!$B$5:$B$84,B59,Executions!$G$5:$G$84,"PASS")+COUNTIFS(Executions!$B$5:$B$84,B59,Executions!$G$5:$G$84,"FAIL")&gt;0,1,0))</x:f>
        <x:v>0</x:v>
      </x:c>
      <x:c r="E59" s="1" t="str">
        <x:f>IF(AND(A59="",B59=""),"",IF(C59=1,"Linked","Check IDs / duplicate"))</x:f>
      </x:c>
    </x:row>
    <x:row r="60" ht="27" customHeight="1">
      <x:c r="A60" s="8"/>
      <x:c r="B60" s="8"/>
      <x:c r="C60" s="1" t="n">
        <x:f>IF(OR(A60="",B60=""),0,IF(AND(COUNTIFS($A$5:$A$12,A60)=1,COUNTIFS('Test Cases'!$A$5:$A$84,B60)=1,COUNTIFS($A$21:A60,A60,$B$21:B60,B60)=1),1,0))</x:f>
        <x:v>0</x:v>
      </x:c>
      <x:c r="D60" s="1" t="n">
        <x:f>IF(C60=0,0,IF(COUNTIFS(Executions!$B$5:$B$84,B60,Executions!$G$5:$G$84,"PASS")+COUNTIFS(Executions!$B$5:$B$84,B60,Executions!$G$5:$G$84,"FAIL")&gt;0,1,0))</x:f>
        <x:v>0</x:v>
      </x:c>
      <x:c r="E60" s="1" t="str">
        <x:f>IF(AND(A60="",B60=""),"",IF(C60=1,"Linked","Check IDs / duplicate"))</x:f>
      </x:c>
    </x:row>
    <x:row r="61" ht="27" customHeight="1">
      <x:c r="A61" s="8"/>
      <x:c r="B61" s="8"/>
      <x:c r="C61" s="1" t="n">
        <x:f>IF(OR(A61="",B61=""),0,IF(AND(COUNTIFS($A$5:$A$12,A61)=1,COUNTIFS('Test Cases'!$A$5:$A$84,B61)=1,COUNTIFS($A$21:A61,A61,$B$21:B61,B61)=1),1,0))</x:f>
        <x:v>0</x:v>
      </x:c>
      <x:c r="D61" s="1" t="n">
        <x:f>IF(C61=0,0,IF(COUNTIFS(Executions!$B$5:$B$84,B61,Executions!$G$5:$G$84,"PASS")+COUNTIFS(Executions!$B$5:$B$84,B61,Executions!$G$5:$G$84,"FAIL")&gt;0,1,0))</x:f>
        <x:v>0</x:v>
      </x:c>
      <x:c r="E61" s="1" t="str">
        <x:f>IF(AND(A61="",B61=""),"",IF(C61=1,"Linked","Check IDs / duplicate"))</x:f>
      </x:c>
    </x:row>
    <x:row r="62" ht="27" customHeight="1">
      <x:c r="A62" s="8"/>
      <x:c r="B62" s="8"/>
      <x:c r="C62" s="1" t="n">
        <x:f>IF(OR(A62="",B62=""),0,IF(AND(COUNTIFS($A$5:$A$12,A62)=1,COUNTIFS('Test Cases'!$A$5:$A$84,B62)=1,COUNTIFS($A$21:A62,A62,$B$21:B62,B62)=1),1,0))</x:f>
        <x:v>0</x:v>
      </x:c>
      <x:c r="D62" s="1" t="n">
        <x:f>IF(C62=0,0,IF(COUNTIFS(Executions!$B$5:$B$84,B62,Executions!$G$5:$G$84,"PASS")+COUNTIFS(Executions!$B$5:$B$84,B62,Executions!$G$5:$G$84,"FAIL")&gt;0,1,0))</x:f>
        <x:v>0</x:v>
      </x:c>
      <x:c r="E62" s="1" t="str">
        <x:f>IF(AND(A62="",B62=""),"",IF(C62=1,"Linked","Check IDs / duplicate"))</x:f>
      </x:c>
    </x:row>
    <x:row r="63" ht="27" customHeight="1">
      <x:c r="A63" s="8"/>
      <x:c r="B63" s="8"/>
      <x:c r="C63" s="1" t="n">
        <x:f>IF(OR(A63="",B63=""),0,IF(AND(COUNTIFS($A$5:$A$12,A63)=1,COUNTIFS('Test Cases'!$A$5:$A$84,B63)=1,COUNTIFS($A$21:A63,A63,$B$21:B63,B63)=1),1,0))</x:f>
        <x:v>0</x:v>
      </x:c>
      <x:c r="D63" s="1" t="n">
        <x:f>IF(C63=0,0,IF(COUNTIFS(Executions!$B$5:$B$84,B63,Executions!$G$5:$G$84,"PASS")+COUNTIFS(Executions!$B$5:$B$84,B63,Executions!$G$5:$G$84,"FAIL")&gt;0,1,0))</x:f>
        <x:v>0</x:v>
      </x:c>
      <x:c r="E63" s="1" t="str">
        <x:f>IF(AND(A63="",B63=""),"",IF(C63=1,"Linked","Check IDs / duplicate"))</x:f>
      </x:c>
    </x:row>
    <x:row r="64" ht="27" customHeight="1">
      <x:c r="A64" s="8"/>
      <x:c r="B64" s="8"/>
      <x:c r="C64" s="1" t="n">
        <x:f>IF(OR(A64="",B64=""),0,IF(AND(COUNTIFS($A$5:$A$12,A64)=1,COUNTIFS('Test Cases'!$A$5:$A$84,B64)=1,COUNTIFS($A$21:A64,A64,$B$21:B64,B64)=1),1,0))</x:f>
        <x:v>0</x:v>
      </x:c>
      <x:c r="D64" s="1" t="n">
        <x:f>IF(C64=0,0,IF(COUNTIFS(Executions!$B$5:$B$84,B64,Executions!$G$5:$G$84,"PASS")+COUNTIFS(Executions!$B$5:$B$84,B64,Executions!$G$5:$G$84,"FAIL")&gt;0,1,0))</x:f>
        <x:v>0</x:v>
      </x:c>
      <x:c r="E64" s="1" t="str">
        <x:f>IF(AND(A64="",B64=""),"",IF(C64=1,"Linked","Check IDs / duplicate"))</x:f>
      </x:c>
    </x:row>
    <x:row r="65" ht="27" customHeight="1">
      <x:c r="A65" s="8"/>
      <x:c r="B65" s="8"/>
      <x:c r="C65" s="1" t="n">
        <x:f>IF(OR(A65="",B65=""),0,IF(AND(COUNTIFS($A$5:$A$12,A65)=1,COUNTIFS('Test Cases'!$A$5:$A$84,B65)=1,COUNTIFS($A$21:A65,A65,$B$21:B65,B65)=1),1,0))</x:f>
        <x:v>0</x:v>
      </x:c>
      <x:c r="D65" s="1" t="n">
        <x:f>IF(C65=0,0,IF(COUNTIFS(Executions!$B$5:$B$84,B65,Executions!$G$5:$G$84,"PASS")+COUNTIFS(Executions!$B$5:$B$84,B65,Executions!$G$5:$G$84,"FAIL")&gt;0,1,0))</x:f>
        <x:v>0</x:v>
      </x:c>
      <x:c r="E65" s="1" t="str">
        <x:f>IF(AND(A65="",B65=""),"",IF(C65=1,"Linked","Check IDs / duplicate"))</x:f>
      </x:c>
    </x:row>
    <x:row r="66" ht="27" customHeight="1">
      <x:c r="A66" s="8"/>
      <x:c r="B66" s="8"/>
      <x:c r="C66" s="1" t="n">
        <x:f>IF(OR(A66="",B66=""),0,IF(AND(COUNTIFS($A$5:$A$12,A66)=1,COUNTIFS('Test Cases'!$A$5:$A$84,B66)=1,COUNTIFS($A$21:A66,A66,$B$21:B66,B66)=1),1,0))</x:f>
        <x:v>0</x:v>
      </x:c>
      <x:c r="D66" s="1" t="n">
        <x:f>IF(C66=0,0,IF(COUNTIFS(Executions!$B$5:$B$84,B66,Executions!$G$5:$G$84,"PASS")+COUNTIFS(Executions!$B$5:$B$84,B66,Executions!$G$5:$G$84,"FAIL")&gt;0,1,0))</x:f>
        <x:v>0</x:v>
      </x:c>
      <x:c r="E66" s="1" t="str">
        <x:f>IF(AND(A66="",B66=""),"",IF(C66=1,"Linked","Check IDs / duplicate"))</x:f>
      </x:c>
    </x:row>
    <x:row r="67" ht="27" customHeight="1">
      <x:c r="A67" s="8"/>
      <x:c r="B67" s="8"/>
      <x:c r="C67" s="1" t="n">
        <x:f>IF(OR(A67="",B67=""),0,IF(AND(COUNTIFS($A$5:$A$12,A67)=1,COUNTIFS('Test Cases'!$A$5:$A$84,B67)=1,COUNTIFS($A$21:A67,A67,$B$21:B67,B67)=1),1,0))</x:f>
        <x:v>0</x:v>
      </x:c>
      <x:c r="D67" s="1" t="n">
        <x:f>IF(C67=0,0,IF(COUNTIFS(Executions!$B$5:$B$84,B67,Executions!$G$5:$G$84,"PASS")+COUNTIFS(Executions!$B$5:$B$84,B67,Executions!$G$5:$G$84,"FAIL")&gt;0,1,0))</x:f>
        <x:v>0</x:v>
      </x:c>
      <x:c r="E67" s="1" t="str">
        <x:f>IF(AND(A67="",B67=""),"",IF(C67=1,"Linked","Check IDs / duplicate"))</x:f>
      </x:c>
    </x:row>
    <x:row r="68" ht="27" customHeight="1">
      <x:c r="A68" s="8"/>
      <x:c r="B68" s="8"/>
      <x:c r="C68" s="1" t="n">
        <x:f>IF(OR(A68="",B68=""),0,IF(AND(COUNTIFS($A$5:$A$12,A68)=1,COUNTIFS('Test Cases'!$A$5:$A$84,B68)=1,COUNTIFS($A$21:A68,A68,$B$21:B68,B68)=1),1,0))</x:f>
        <x:v>0</x:v>
      </x:c>
      <x:c r="D68" s="1" t="n">
        <x:f>IF(C68=0,0,IF(COUNTIFS(Executions!$B$5:$B$84,B68,Executions!$G$5:$G$84,"PASS")+COUNTIFS(Executions!$B$5:$B$84,B68,Executions!$G$5:$G$84,"FAIL")&gt;0,1,0))</x:f>
        <x:v>0</x:v>
      </x:c>
      <x:c r="E68" s="1" t="str">
        <x:f>IF(AND(A68="",B68=""),"",IF(C68=1,"Linked","Check IDs / duplicate"))</x:f>
      </x:c>
    </x:row>
    <x:row r="69" ht="27" customHeight="1">
      <x:c r="A69" s="8"/>
      <x:c r="B69" s="8"/>
      <x:c r="C69" s="1" t="n">
        <x:f>IF(OR(A69="",B69=""),0,IF(AND(COUNTIFS($A$5:$A$12,A69)=1,COUNTIFS('Test Cases'!$A$5:$A$84,B69)=1,COUNTIFS($A$21:A69,A69,$B$21:B69,B69)=1),1,0))</x:f>
        <x:v>0</x:v>
      </x:c>
      <x:c r="D69" s="1" t="n">
        <x:f>IF(C69=0,0,IF(COUNTIFS(Executions!$B$5:$B$84,B69,Executions!$G$5:$G$84,"PASS")+COUNTIFS(Executions!$B$5:$B$84,B69,Executions!$G$5:$G$84,"FAIL")&gt;0,1,0))</x:f>
        <x:v>0</x:v>
      </x:c>
      <x:c r="E69" s="1" t="str">
        <x:f>IF(AND(A69="",B69=""),"",IF(C69=1,"Linked","Check IDs / duplicate"))</x:f>
      </x:c>
    </x:row>
    <x:row r="70" ht="27" customHeight="1">
      <x:c r="A70" s="8"/>
      <x:c r="B70" s="8"/>
      <x:c r="C70" s="1" t="n">
        <x:f>IF(OR(A70="",B70=""),0,IF(AND(COUNTIFS($A$5:$A$12,A70)=1,COUNTIFS('Test Cases'!$A$5:$A$84,B70)=1,COUNTIFS($A$21:A70,A70,$B$21:B70,B70)=1),1,0))</x:f>
        <x:v>0</x:v>
      </x:c>
      <x:c r="D70" s="1" t="n">
        <x:f>IF(C70=0,0,IF(COUNTIFS(Executions!$B$5:$B$84,B70,Executions!$G$5:$G$84,"PASS")+COUNTIFS(Executions!$B$5:$B$84,B70,Executions!$G$5:$G$84,"FAIL")&gt;0,1,0))</x:f>
        <x:v>0</x:v>
      </x:c>
      <x:c r="E70" s="1" t="str">
        <x:f>IF(AND(A70="",B70=""),"",IF(C70=1,"Linked","Check IDs / duplicate"))</x:f>
      </x:c>
    </x:row>
    <x:row r="71" ht="27" customHeight="1">
      <x:c r="A71" s="8"/>
      <x:c r="B71" s="8"/>
      <x:c r="C71" s="1" t="n">
        <x:f>IF(OR(A71="",B71=""),0,IF(AND(COUNTIFS($A$5:$A$12,A71)=1,COUNTIFS('Test Cases'!$A$5:$A$84,B71)=1,COUNTIFS($A$21:A71,A71,$B$21:B71,B71)=1),1,0))</x:f>
        <x:v>0</x:v>
      </x:c>
      <x:c r="D71" s="1" t="n">
        <x:f>IF(C71=0,0,IF(COUNTIFS(Executions!$B$5:$B$84,B71,Executions!$G$5:$G$84,"PASS")+COUNTIFS(Executions!$B$5:$B$84,B71,Executions!$G$5:$G$84,"FAIL")&gt;0,1,0))</x:f>
        <x:v>0</x:v>
      </x:c>
      <x:c r="E71" s="1" t="str">
        <x:f>IF(AND(A71="",B71=""),"",IF(C71=1,"Linked","Check IDs / duplicate"))</x:f>
      </x:c>
    </x:row>
    <x:row r="72" ht="27" customHeight="1">
      <x:c r="A72" s="8"/>
      <x:c r="B72" s="8"/>
      <x:c r="C72" s="1" t="n">
        <x:f>IF(OR(A72="",B72=""),0,IF(AND(COUNTIFS($A$5:$A$12,A72)=1,COUNTIFS('Test Cases'!$A$5:$A$84,B72)=1,COUNTIFS($A$21:A72,A72,$B$21:B72,B72)=1),1,0))</x:f>
        <x:v>0</x:v>
      </x:c>
      <x:c r="D72" s="1" t="n">
        <x:f>IF(C72=0,0,IF(COUNTIFS(Executions!$B$5:$B$84,B72,Executions!$G$5:$G$84,"PASS")+COUNTIFS(Executions!$B$5:$B$84,B72,Executions!$G$5:$G$84,"FAIL")&gt;0,1,0))</x:f>
        <x:v>0</x:v>
      </x:c>
      <x:c r="E72" s="1" t="str">
        <x:f>IF(AND(A72="",B72=""),"",IF(C72=1,"Linked","Check IDs / duplicate"))</x:f>
      </x:c>
    </x:row>
    <x:row r="73" ht="27" customHeight="1">
      <x:c r="A73" s="8"/>
      <x:c r="B73" s="8"/>
      <x:c r="C73" s="1" t="n">
        <x:f>IF(OR(A73="",B73=""),0,IF(AND(COUNTIFS($A$5:$A$12,A73)=1,COUNTIFS('Test Cases'!$A$5:$A$84,B73)=1,COUNTIFS($A$21:A73,A73,$B$21:B73,B73)=1),1,0))</x:f>
        <x:v>0</x:v>
      </x:c>
      <x:c r="D73" s="1" t="n">
        <x:f>IF(C73=0,0,IF(COUNTIFS(Executions!$B$5:$B$84,B73,Executions!$G$5:$G$84,"PASS")+COUNTIFS(Executions!$B$5:$B$84,B73,Executions!$G$5:$G$84,"FAIL")&gt;0,1,0))</x:f>
        <x:v>0</x:v>
      </x:c>
      <x:c r="E73" s="1" t="str">
        <x:f>IF(AND(A73="",B73=""),"",IF(C73=1,"Linked","Check IDs / duplicate"))</x:f>
      </x:c>
    </x:row>
    <x:row r="74" ht="27" customHeight="1">
      <x:c r="A74" s="8"/>
      <x:c r="B74" s="8"/>
      <x:c r="C74" s="1" t="n">
        <x:f>IF(OR(A74="",B74=""),0,IF(AND(COUNTIFS($A$5:$A$12,A74)=1,COUNTIFS('Test Cases'!$A$5:$A$84,B74)=1,COUNTIFS($A$21:A74,A74,$B$21:B74,B74)=1),1,0))</x:f>
        <x:v>0</x:v>
      </x:c>
      <x:c r="D74" s="1" t="n">
        <x:f>IF(C74=0,0,IF(COUNTIFS(Executions!$B$5:$B$84,B74,Executions!$G$5:$G$84,"PASS")+COUNTIFS(Executions!$B$5:$B$84,B74,Executions!$G$5:$G$84,"FAIL")&gt;0,1,0))</x:f>
        <x:v>0</x:v>
      </x:c>
      <x:c r="E74" s="1" t="str">
        <x:f>IF(AND(A74="",B74=""),"",IF(C74=1,"Linked","Check IDs / duplicate"))</x:f>
      </x:c>
    </x:row>
    <x:row r="75" ht="27" customHeight="1">
      <x:c r="A75" s="8"/>
      <x:c r="B75" s="8"/>
      <x:c r="C75" s="1" t="n">
        <x:f>IF(OR(A75="",B75=""),0,IF(AND(COUNTIFS($A$5:$A$12,A75)=1,COUNTIFS('Test Cases'!$A$5:$A$84,B75)=1,COUNTIFS($A$21:A75,A75,$B$21:B75,B75)=1),1,0))</x:f>
        <x:v>0</x:v>
      </x:c>
      <x:c r="D75" s="1" t="n">
        <x:f>IF(C75=0,0,IF(COUNTIFS(Executions!$B$5:$B$84,B75,Executions!$G$5:$G$84,"PASS")+COUNTIFS(Executions!$B$5:$B$84,B75,Executions!$G$5:$G$84,"FAIL")&gt;0,1,0))</x:f>
        <x:v>0</x:v>
      </x:c>
      <x:c r="E75" s="1" t="str">
        <x:f>IF(AND(A75="",B75=""),"",IF(C75=1,"Linked","Check IDs / duplicate"))</x:f>
      </x:c>
    </x:row>
    <x:row r="76" ht="27" customHeight="1">
      <x:c r="A76" s="8"/>
      <x:c r="B76" s="8"/>
      <x:c r="C76" s="1" t="n">
        <x:f>IF(OR(A76="",B76=""),0,IF(AND(COUNTIFS($A$5:$A$12,A76)=1,COUNTIFS('Test Cases'!$A$5:$A$84,B76)=1,COUNTIFS($A$21:A76,A76,$B$21:B76,B76)=1),1,0))</x:f>
        <x:v>0</x:v>
      </x:c>
      <x:c r="D76" s="1" t="n">
        <x:f>IF(C76=0,0,IF(COUNTIFS(Executions!$B$5:$B$84,B76,Executions!$G$5:$G$84,"PASS")+COUNTIFS(Executions!$B$5:$B$84,B76,Executions!$G$5:$G$84,"FAIL")&gt;0,1,0))</x:f>
        <x:v>0</x:v>
      </x:c>
      <x:c r="E76" s="1" t="str">
        <x:f>IF(AND(A76="",B76=""),"",IF(C76=1,"Linked","Check IDs / duplicate"))</x:f>
      </x:c>
    </x:row>
    <x:row r="77" ht="27" customHeight="1">
      <x:c r="A77" s="8"/>
      <x:c r="B77" s="8"/>
      <x:c r="C77" s="1" t="n">
        <x:f>IF(OR(A77="",B77=""),0,IF(AND(COUNTIFS($A$5:$A$12,A77)=1,COUNTIFS('Test Cases'!$A$5:$A$84,B77)=1,COUNTIFS($A$21:A77,A77,$B$21:B77,B77)=1),1,0))</x:f>
        <x:v>0</x:v>
      </x:c>
      <x:c r="D77" s="1" t="n">
        <x:f>IF(C77=0,0,IF(COUNTIFS(Executions!$B$5:$B$84,B77,Executions!$G$5:$G$84,"PASS")+COUNTIFS(Executions!$B$5:$B$84,B77,Executions!$G$5:$G$84,"FAIL")&gt;0,1,0))</x:f>
        <x:v>0</x:v>
      </x:c>
      <x:c r="E77" s="1" t="str">
        <x:f>IF(AND(A77="",B77=""),"",IF(C77=1,"Linked","Check IDs / duplicate"))</x:f>
      </x:c>
    </x:row>
    <x:row r="78" ht="27" customHeight="1">
      <x:c r="A78" s="8"/>
      <x:c r="B78" s="8"/>
      <x:c r="C78" s="1" t="n">
        <x:f>IF(OR(A78="",B78=""),0,IF(AND(COUNTIFS($A$5:$A$12,A78)=1,COUNTIFS('Test Cases'!$A$5:$A$84,B78)=1,COUNTIFS($A$21:A78,A78,$B$21:B78,B78)=1),1,0))</x:f>
        <x:v>0</x:v>
      </x:c>
      <x:c r="D78" s="1" t="n">
        <x:f>IF(C78=0,0,IF(COUNTIFS(Executions!$B$5:$B$84,B78,Executions!$G$5:$G$84,"PASS")+COUNTIFS(Executions!$B$5:$B$84,B78,Executions!$G$5:$G$84,"FAIL")&gt;0,1,0))</x:f>
        <x:v>0</x:v>
      </x:c>
      <x:c r="E78" s="1" t="str">
        <x:f>IF(AND(A78="",B78=""),"",IF(C78=1,"Linked","Check IDs / duplicate"))</x:f>
      </x:c>
    </x:row>
    <x:row r="79" ht="27" customHeight="1">
      <x:c r="A79" s="8"/>
      <x:c r="B79" s="8"/>
      <x:c r="C79" s="1" t="n">
        <x:f>IF(OR(A79="",B79=""),0,IF(AND(COUNTIFS($A$5:$A$12,A79)=1,COUNTIFS('Test Cases'!$A$5:$A$84,B79)=1,COUNTIFS($A$21:A79,A79,$B$21:B79,B79)=1),1,0))</x:f>
        <x:v>0</x:v>
      </x:c>
      <x:c r="D79" s="1" t="n">
        <x:f>IF(C79=0,0,IF(COUNTIFS(Executions!$B$5:$B$84,B79,Executions!$G$5:$G$84,"PASS")+COUNTIFS(Executions!$B$5:$B$84,B79,Executions!$G$5:$G$84,"FAIL")&gt;0,1,0))</x:f>
        <x:v>0</x:v>
      </x:c>
      <x:c r="E79" s="1" t="str">
        <x:f>IF(AND(A79="",B79=""),"",IF(C79=1,"Linked","Check IDs / duplicate"))</x:f>
      </x:c>
    </x:row>
    <x:row r="80" ht="27" customHeight="1">
      <x:c r="A80" s="8"/>
      <x:c r="B80" s="8"/>
      <x:c r="C80" s="1" t="n">
        <x:f>IF(OR(A80="",B80=""),0,IF(AND(COUNTIFS($A$5:$A$12,A80)=1,COUNTIFS('Test Cases'!$A$5:$A$84,B80)=1,COUNTIFS($A$21:A80,A80,$B$21:B80,B80)=1),1,0))</x:f>
        <x:v>0</x:v>
      </x:c>
      <x:c r="D80" s="1" t="n">
        <x:f>IF(C80=0,0,IF(COUNTIFS(Executions!$B$5:$B$84,B80,Executions!$G$5:$G$84,"PASS")+COUNTIFS(Executions!$B$5:$B$84,B80,Executions!$G$5:$G$84,"FAIL")&gt;0,1,0))</x:f>
        <x:v>0</x:v>
      </x:c>
      <x:c r="E80" s="1" t="str">
        <x:f>IF(AND(A80="",B80=""),"",IF(C80=1,"Linked","Check IDs / duplicate"))</x:f>
      </x:c>
    </x:row>
    <x:row r="81" ht="27" customHeight="1">
      <x:c r="A81" s="8"/>
      <x:c r="B81" s="8"/>
      <x:c r="C81" s="1" t="n">
        <x:f>IF(OR(A81="",B81=""),0,IF(AND(COUNTIFS($A$5:$A$12,A81)=1,COUNTIFS('Test Cases'!$A$5:$A$84,B81)=1,COUNTIFS($A$21:A81,A81,$B$21:B81,B81)=1),1,0))</x:f>
        <x:v>0</x:v>
      </x:c>
      <x:c r="D81" s="1" t="n">
        <x:f>IF(C81=0,0,IF(COUNTIFS(Executions!$B$5:$B$84,B81,Executions!$G$5:$G$84,"PASS")+COUNTIFS(Executions!$B$5:$B$84,B81,Executions!$G$5:$G$84,"FAIL")&gt;0,1,0))</x:f>
        <x:v>0</x:v>
      </x:c>
      <x:c r="E81" s="1" t="str">
        <x:f>IF(AND(A81="",B81=""),"",IF(C81=1,"Linked","Check IDs / duplicate"))</x:f>
      </x:c>
    </x:row>
    <x:row r="82" ht="27" customHeight="1">
      <x:c r="A82" s="8"/>
      <x:c r="B82" s="8"/>
      <x:c r="C82" s="1" t="n">
        <x:f>IF(OR(A82="",B82=""),0,IF(AND(COUNTIFS($A$5:$A$12,A82)=1,COUNTIFS('Test Cases'!$A$5:$A$84,B82)=1,COUNTIFS($A$21:A82,A82,$B$21:B82,B82)=1),1,0))</x:f>
        <x:v>0</x:v>
      </x:c>
      <x:c r="D82" s="1" t="n">
        <x:f>IF(C82=0,0,IF(COUNTIFS(Executions!$B$5:$B$84,B82,Executions!$G$5:$G$84,"PASS")+COUNTIFS(Executions!$B$5:$B$84,B82,Executions!$G$5:$G$84,"FAIL")&gt;0,1,0))</x:f>
        <x:v>0</x:v>
      </x:c>
      <x:c r="E82" s="1" t="str">
        <x:f>IF(AND(A82="",B82=""),"",IF(C82=1,"Linked","Check IDs / duplicate"))</x:f>
      </x:c>
    </x:row>
    <x:row r="83" ht="27" customHeight="1">
      <x:c r="A83" s="8"/>
      <x:c r="B83" s="8"/>
      <x:c r="C83" s="1" t="n">
        <x:f>IF(OR(A83="",B83=""),0,IF(AND(COUNTIFS($A$5:$A$12,A83)=1,COUNTIFS('Test Cases'!$A$5:$A$84,B83)=1,COUNTIFS($A$21:A83,A83,$B$21:B83,B83)=1),1,0))</x:f>
        <x:v>0</x:v>
      </x:c>
      <x:c r="D83" s="1" t="n">
        <x:f>IF(C83=0,0,IF(COUNTIFS(Executions!$B$5:$B$84,B83,Executions!$G$5:$G$84,"PASS")+COUNTIFS(Executions!$B$5:$B$84,B83,Executions!$G$5:$G$84,"FAIL")&gt;0,1,0))</x:f>
        <x:v>0</x:v>
      </x:c>
      <x:c r="E83" s="1" t="str">
        <x:f>IF(AND(A83="",B83=""),"",IF(C83=1,"Linked","Check IDs / duplicate"))</x:f>
      </x:c>
    </x:row>
    <x:row r="84" ht="27" customHeight="1">
      <x:c r="A84" s="8"/>
      <x:c r="B84" s="8"/>
      <x:c r="C84" s="1" t="n">
        <x:f>IF(OR(A84="",B84=""),0,IF(AND(COUNTIFS($A$5:$A$12,A84)=1,COUNTIFS('Test Cases'!$A$5:$A$84,B84)=1,COUNTIFS($A$21:A84,A84,$B$21:B84,B84)=1),1,0))</x:f>
        <x:v>0</x:v>
      </x:c>
      <x:c r="D84" s="1" t="n">
        <x:f>IF(C84=0,0,IF(COUNTIFS(Executions!$B$5:$B$84,B84,Executions!$G$5:$G$84,"PASS")+COUNTIFS(Executions!$B$5:$B$84,B84,Executions!$G$5:$G$84,"FAIL")&gt;0,1,0))</x:f>
        <x:v>0</x:v>
      </x:c>
      <x:c r="E84" s="1" t="str">
        <x:f>IF(AND(A84="",B84=""),"",IF(C84=1,"Linked","Check IDs / duplicate"))</x:f>
      </x:c>
    </x:row>
    <x:row r="85" ht="27" customHeight="1">
      <x:c r="A85" s="8"/>
      <x:c r="B85" s="8"/>
      <x:c r="C85" s="1" t="n">
        <x:f>IF(OR(A85="",B85=""),0,IF(AND(COUNTIFS($A$5:$A$12,A85)=1,COUNTIFS('Test Cases'!$A$5:$A$84,B85)=1,COUNTIFS($A$21:A85,A85,$B$21:B85,B85)=1),1,0))</x:f>
        <x:v>0</x:v>
      </x:c>
      <x:c r="D85" s="1" t="n">
        <x:f>IF(C85=0,0,IF(COUNTIFS(Executions!$B$5:$B$84,B85,Executions!$G$5:$G$84,"PASS")+COUNTIFS(Executions!$B$5:$B$84,B85,Executions!$G$5:$G$84,"FAIL")&gt;0,1,0))</x:f>
        <x:v>0</x:v>
      </x:c>
      <x:c r="E85" s="1" t="str">
        <x:f>IF(AND(A85="",B85=""),"",IF(C85=1,"Linked","Check IDs / duplicate"))</x:f>
      </x:c>
    </x:row>
    <x:row r="86" ht="27" customHeight="1">
      <x:c r="A86" s="8"/>
      <x:c r="B86" s="8"/>
      <x:c r="C86" s="1" t="n">
        <x:f>IF(OR(A86="",B86=""),0,IF(AND(COUNTIFS($A$5:$A$12,A86)=1,COUNTIFS('Test Cases'!$A$5:$A$84,B86)=1,COUNTIFS($A$21:A86,A86,$B$21:B86,B86)=1),1,0))</x:f>
        <x:v>0</x:v>
      </x:c>
      <x:c r="D86" s="1" t="n">
        <x:f>IF(C86=0,0,IF(COUNTIFS(Executions!$B$5:$B$84,B86,Executions!$G$5:$G$84,"PASS")+COUNTIFS(Executions!$B$5:$B$84,B86,Executions!$G$5:$G$84,"FAIL")&gt;0,1,0))</x:f>
        <x:v>0</x:v>
      </x:c>
      <x:c r="E86" s="1" t="str">
        <x:f>IF(AND(A86="",B86=""),"",IF(C86=1,"Linked","Check IDs / duplicate"))</x:f>
      </x:c>
    </x:row>
    <x:row r="87" ht="27" customHeight="1">
      <x:c r="A87" s="8"/>
      <x:c r="B87" s="8"/>
      <x:c r="C87" s="1" t="n">
        <x:f>IF(OR(A87="",B87=""),0,IF(AND(COUNTIFS($A$5:$A$12,A87)=1,COUNTIFS('Test Cases'!$A$5:$A$84,B87)=1,COUNTIFS($A$21:A87,A87,$B$21:B87,B87)=1),1,0))</x:f>
        <x:v>0</x:v>
      </x:c>
      <x:c r="D87" s="1" t="n">
        <x:f>IF(C87=0,0,IF(COUNTIFS(Executions!$B$5:$B$84,B87,Executions!$G$5:$G$84,"PASS")+COUNTIFS(Executions!$B$5:$B$84,B87,Executions!$G$5:$G$84,"FAIL")&gt;0,1,0))</x:f>
        <x:v>0</x:v>
      </x:c>
      <x:c r="E87" s="1" t="str">
        <x:f>IF(AND(A87="",B87=""),"",IF(C87=1,"Linked","Check IDs / duplicate"))</x:f>
      </x:c>
    </x:row>
    <x:row r="88" ht="27" customHeight="1">
      <x:c r="A88" s="8"/>
      <x:c r="B88" s="8"/>
      <x:c r="C88" s="1" t="n">
        <x:f>IF(OR(A88="",B88=""),0,IF(AND(COUNTIFS($A$5:$A$12,A88)=1,COUNTIFS('Test Cases'!$A$5:$A$84,B88)=1,COUNTIFS($A$21:A88,A88,$B$21:B88,B88)=1),1,0))</x:f>
        <x:v>0</x:v>
      </x:c>
      <x:c r="D88" s="1" t="n">
        <x:f>IF(C88=0,0,IF(COUNTIFS(Executions!$B$5:$B$84,B88,Executions!$G$5:$G$84,"PASS")+COUNTIFS(Executions!$B$5:$B$84,B88,Executions!$G$5:$G$84,"FAIL")&gt;0,1,0))</x:f>
        <x:v>0</x:v>
      </x:c>
      <x:c r="E88" s="1" t="str">
        <x:f>IF(AND(A88="",B88=""),"",IF(C88=1,"Linked","Check IDs / duplicate"))</x:f>
      </x:c>
    </x:row>
    <x:row r="89" ht="27" customHeight="1">
      <x:c r="A89" s="8"/>
      <x:c r="B89" s="8"/>
      <x:c r="C89" s="1" t="n">
        <x:f>IF(OR(A89="",B89=""),0,IF(AND(COUNTIFS($A$5:$A$12,A89)=1,COUNTIFS('Test Cases'!$A$5:$A$84,B89)=1,COUNTIFS($A$21:A89,A89,$B$21:B89,B89)=1),1,0))</x:f>
        <x:v>0</x:v>
      </x:c>
      <x:c r="D89" s="1" t="n">
        <x:f>IF(C89=0,0,IF(COUNTIFS(Executions!$B$5:$B$84,B89,Executions!$G$5:$G$84,"PASS")+COUNTIFS(Executions!$B$5:$B$84,B89,Executions!$G$5:$G$84,"FAIL")&gt;0,1,0))</x:f>
        <x:v>0</x:v>
      </x:c>
      <x:c r="E89" s="1" t="str">
        <x:f>IF(AND(A89="",B89=""),"",IF(C89=1,"Linked","Check IDs / duplicate"))</x:f>
      </x:c>
    </x:row>
    <x:row r="90" ht="27" customHeight="1">
      <x:c r="A90" s="8"/>
      <x:c r="B90" s="8"/>
      <x:c r="C90" s="1" t="n">
        <x:f>IF(OR(A90="",B90=""),0,IF(AND(COUNTIFS($A$5:$A$12,A90)=1,COUNTIFS('Test Cases'!$A$5:$A$84,B90)=1,COUNTIFS($A$21:A90,A90,$B$21:B90,B90)=1),1,0))</x:f>
        <x:v>0</x:v>
      </x:c>
      <x:c r="D90" s="1" t="n">
        <x:f>IF(C90=0,0,IF(COUNTIFS(Executions!$B$5:$B$84,B90,Executions!$G$5:$G$84,"PASS")+COUNTIFS(Executions!$B$5:$B$84,B90,Executions!$G$5:$G$84,"FAIL")&gt;0,1,0))</x:f>
        <x:v>0</x:v>
      </x:c>
      <x:c r="E90" s="1" t="str">
        <x:f>IF(AND(A90="",B90=""),"",IF(C90=1,"Linked","Check IDs / duplicate"))</x:f>
      </x:c>
    </x:row>
    <x:row r="91" ht="27" customHeight="1">
      <x:c r="A91" s="8"/>
      <x:c r="B91" s="8"/>
      <x:c r="C91" s="1" t="n">
        <x:f>IF(OR(A91="",B91=""),0,IF(AND(COUNTIFS($A$5:$A$12,A91)=1,COUNTIFS('Test Cases'!$A$5:$A$84,B91)=1,COUNTIFS($A$21:A91,A91,$B$21:B91,B91)=1),1,0))</x:f>
        <x:v>0</x:v>
      </x:c>
      <x:c r="D91" s="1" t="n">
        <x:f>IF(C91=0,0,IF(COUNTIFS(Executions!$B$5:$B$84,B91,Executions!$G$5:$G$84,"PASS")+COUNTIFS(Executions!$B$5:$B$84,B91,Executions!$G$5:$G$84,"FAIL")&gt;0,1,0))</x:f>
        <x:v>0</x:v>
      </x:c>
      <x:c r="E91" s="1" t="str">
        <x:f>IF(AND(A91="",B91=""),"",IF(C91=1,"Linked","Check IDs / duplicate"))</x:f>
      </x:c>
    </x:row>
    <x:row r="92" ht="27" customHeight="1">
      <x:c r="A92" s="8"/>
      <x:c r="B92" s="8"/>
      <x:c r="C92" s="1" t="n">
        <x:f>IF(OR(A92="",B92=""),0,IF(AND(COUNTIFS($A$5:$A$12,A92)=1,COUNTIFS('Test Cases'!$A$5:$A$84,B92)=1,COUNTIFS($A$21:A92,A92,$B$21:B92,B92)=1),1,0))</x:f>
        <x:v>0</x:v>
      </x:c>
      <x:c r="D92" s="1" t="n">
        <x:f>IF(C92=0,0,IF(COUNTIFS(Executions!$B$5:$B$84,B92,Executions!$G$5:$G$84,"PASS")+COUNTIFS(Executions!$B$5:$B$84,B92,Executions!$G$5:$G$84,"FAIL")&gt;0,1,0))</x:f>
        <x:v>0</x:v>
      </x:c>
      <x:c r="E92" s="1" t="str">
        <x:f>IF(AND(A92="",B92=""),"",IF(C92=1,"Linked","Check IDs / duplicate"))</x:f>
      </x:c>
    </x:row>
    <x:row r="93" ht="27" customHeight="1">
      <x:c r="A93" s="8"/>
      <x:c r="B93" s="8"/>
      <x:c r="C93" s="1" t="n">
        <x:f>IF(OR(A93="",B93=""),0,IF(AND(COUNTIFS($A$5:$A$12,A93)=1,COUNTIFS('Test Cases'!$A$5:$A$84,B93)=1,COUNTIFS($A$21:A93,A93,$B$21:B93,B93)=1),1,0))</x:f>
        <x:v>0</x:v>
      </x:c>
      <x:c r="D93" s="1" t="n">
        <x:f>IF(C93=0,0,IF(COUNTIFS(Executions!$B$5:$B$84,B93,Executions!$G$5:$G$84,"PASS")+COUNTIFS(Executions!$B$5:$B$84,B93,Executions!$G$5:$G$84,"FAIL")&gt;0,1,0))</x:f>
        <x:v>0</x:v>
      </x:c>
      <x:c r="E93" s="1" t="str">
        <x:f>IF(AND(A93="",B93=""),"",IF(C93=1,"Linked","Check IDs / duplicate"))</x:f>
      </x:c>
    </x:row>
    <x:row r="94" ht="27" customHeight="1">
      <x:c r="A94" s="8"/>
      <x:c r="B94" s="8"/>
      <x:c r="C94" s="1" t="n">
        <x:f>IF(OR(A94="",B94=""),0,IF(AND(COUNTIFS($A$5:$A$12,A94)=1,COUNTIFS('Test Cases'!$A$5:$A$84,B94)=1,COUNTIFS($A$21:A94,A94,$B$21:B94,B94)=1),1,0))</x:f>
        <x:v>0</x:v>
      </x:c>
      <x:c r="D94" s="1" t="n">
        <x:f>IF(C94=0,0,IF(COUNTIFS(Executions!$B$5:$B$84,B94,Executions!$G$5:$G$84,"PASS")+COUNTIFS(Executions!$B$5:$B$84,B94,Executions!$G$5:$G$84,"FAIL")&gt;0,1,0))</x:f>
        <x:v>0</x:v>
      </x:c>
      <x:c r="E94" s="1" t="str">
        <x:f>IF(AND(A94="",B94=""),"",IF(C94=1,"Linked","Check IDs / duplicate"))</x:f>
      </x:c>
    </x:row>
    <x:row r="95" ht="27" customHeight="1">
      <x:c r="A95" s="8"/>
      <x:c r="B95" s="8"/>
      <x:c r="C95" s="1" t="n">
        <x:f>IF(OR(A95="",B95=""),0,IF(AND(COUNTIFS($A$5:$A$12,A95)=1,COUNTIFS('Test Cases'!$A$5:$A$84,B95)=1,COUNTIFS($A$21:A95,A95,$B$21:B95,B95)=1),1,0))</x:f>
        <x:v>0</x:v>
      </x:c>
      <x:c r="D95" s="1" t="n">
        <x:f>IF(C95=0,0,IF(COUNTIFS(Executions!$B$5:$B$84,B95,Executions!$G$5:$G$84,"PASS")+COUNTIFS(Executions!$B$5:$B$84,B95,Executions!$G$5:$G$84,"FAIL")&gt;0,1,0))</x:f>
        <x:v>0</x:v>
      </x:c>
      <x:c r="E95" s="1" t="str">
        <x:f>IF(AND(A95="",B95=""),"",IF(C95=1,"Linked","Check IDs / duplicate"))</x:f>
      </x:c>
    </x:row>
    <x:row r="96" ht="27" customHeight="1">
      <x:c r="A96" s="8"/>
      <x:c r="B96" s="8"/>
      <x:c r="C96" s="1" t="n">
        <x:f>IF(OR(A96="",B96=""),0,IF(AND(COUNTIFS($A$5:$A$12,A96)=1,COUNTIFS('Test Cases'!$A$5:$A$84,B96)=1,COUNTIFS($A$21:A96,A96,$B$21:B96,B96)=1),1,0))</x:f>
        <x:v>0</x:v>
      </x:c>
      <x:c r="D96" s="1" t="n">
        <x:f>IF(C96=0,0,IF(COUNTIFS(Executions!$B$5:$B$84,B96,Executions!$G$5:$G$84,"PASS")+COUNTIFS(Executions!$B$5:$B$84,B96,Executions!$G$5:$G$84,"FAIL")&gt;0,1,0))</x:f>
        <x:v>0</x:v>
      </x:c>
      <x:c r="E96" s="1" t="str">
        <x:f>IF(AND(A96="",B96=""),"",IF(C96=1,"Linked","Check IDs / duplicate"))</x:f>
      </x:c>
    </x:row>
    <x:row r="97" ht="27" customHeight="1">
      <x:c r="A97" s="8"/>
      <x:c r="B97" s="8"/>
      <x:c r="C97" s="1" t="n">
        <x:f>IF(OR(A97="",B97=""),0,IF(AND(COUNTIFS($A$5:$A$12,A97)=1,COUNTIFS('Test Cases'!$A$5:$A$84,B97)=1,COUNTIFS($A$21:A97,A97,$B$21:B97,B97)=1),1,0))</x:f>
        <x:v>0</x:v>
      </x:c>
      <x:c r="D97" s="1" t="n">
        <x:f>IF(C97=0,0,IF(COUNTIFS(Executions!$B$5:$B$84,B97,Executions!$G$5:$G$84,"PASS")+COUNTIFS(Executions!$B$5:$B$84,B97,Executions!$G$5:$G$84,"FAIL")&gt;0,1,0))</x:f>
        <x:v>0</x:v>
      </x:c>
      <x:c r="E97" s="1" t="str">
        <x:f>IF(AND(A97="",B97=""),"",IF(C97=1,"Linked","Check IDs / duplicate"))</x:f>
      </x:c>
    </x:row>
    <x:row r="98" ht="27" customHeight="1">
      <x:c r="A98" s="8"/>
      <x:c r="B98" s="8"/>
      <x:c r="C98" s="1" t="n">
        <x:f>IF(OR(A98="",B98=""),0,IF(AND(COUNTIFS($A$5:$A$12,A98)=1,COUNTIFS('Test Cases'!$A$5:$A$84,B98)=1,COUNTIFS($A$21:A98,A98,$B$21:B98,B98)=1),1,0))</x:f>
        <x:v>0</x:v>
      </x:c>
      <x:c r="D98" s="1" t="n">
        <x:f>IF(C98=0,0,IF(COUNTIFS(Executions!$B$5:$B$84,B98,Executions!$G$5:$G$84,"PASS")+COUNTIFS(Executions!$B$5:$B$84,B98,Executions!$G$5:$G$84,"FAIL")&gt;0,1,0))</x:f>
        <x:v>0</x:v>
      </x:c>
      <x:c r="E98" s="1" t="str">
        <x:f>IF(AND(A98="",B98=""),"",IF(C98=1,"Linked","Check IDs / duplicate"))</x:f>
      </x:c>
    </x:row>
    <x:row r="99" ht="27" customHeight="1">
      <x:c r="A99" s="8"/>
      <x:c r="B99" s="8"/>
      <x:c r="C99" s="1" t="n">
        <x:f>IF(OR(A99="",B99=""),0,IF(AND(COUNTIFS($A$5:$A$12,A99)=1,COUNTIFS('Test Cases'!$A$5:$A$84,B99)=1,COUNTIFS($A$21:A99,A99,$B$21:B99,B99)=1),1,0))</x:f>
        <x:v>0</x:v>
      </x:c>
      <x:c r="D99" s="1" t="n">
        <x:f>IF(C99=0,0,IF(COUNTIFS(Executions!$B$5:$B$84,B99,Executions!$G$5:$G$84,"PASS")+COUNTIFS(Executions!$B$5:$B$84,B99,Executions!$G$5:$G$84,"FAIL")&gt;0,1,0))</x:f>
        <x:v>0</x:v>
      </x:c>
      <x:c r="E99" s="1" t="str">
        <x:f>IF(AND(A99="",B99=""),"",IF(C99=1,"Linked","Check IDs / duplicate"))</x:f>
      </x:c>
    </x:row>
    <x:row r="100" ht="27" customHeight="1">
      <x:c r="A100" s="8"/>
      <x:c r="B100" s="8"/>
      <x:c r="C100" s="1" t="n">
        <x:f>IF(OR(A100="",B100=""),0,IF(AND(COUNTIFS($A$5:$A$12,A100)=1,COUNTIFS('Test Cases'!$A$5:$A$84,B100)=1,COUNTIFS($A$21:A100,A100,$B$21:B100,B100)=1),1,0))</x:f>
        <x:v>0</x:v>
      </x:c>
      <x:c r="D100" s="1" t="n">
        <x:f>IF(C100=0,0,IF(COUNTIFS(Executions!$B$5:$B$84,B100,Executions!$G$5:$G$84,"PASS")+COUNTIFS(Executions!$B$5:$B$84,B100,Executions!$G$5:$G$84,"FAIL")&gt;0,1,0))</x:f>
        <x:v>0</x:v>
      </x:c>
      <x:c r="E100" s="1" t="str">
        <x:f>IF(AND(A100="",B100=""),"",IF(C100=1,"Linked","Check IDs / duplicate"))</x:f>
      </x:c>
    </x:row>
    <x:row r="101" ht="27" customHeight="1">
      <x:c r="A101" s="8"/>
      <x:c r="B101" s="8"/>
      <x:c r="C101" s="1" t="n">
        <x:f>IF(OR(A101="",B101=""),0,IF(AND(COUNTIFS($A$5:$A$12,A101)=1,COUNTIFS('Test Cases'!$A$5:$A$84,B101)=1,COUNTIFS($A$21:A101,A101,$B$21:B101,B101)=1),1,0))</x:f>
        <x:v>0</x:v>
      </x:c>
      <x:c r="D101" s="1" t="n">
        <x:f>IF(C101=0,0,IF(COUNTIFS(Executions!$B$5:$B$84,B101,Executions!$G$5:$G$84,"PASS")+COUNTIFS(Executions!$B$5:$B$84,B101,Executions!$G$5:$G$84,"FAIL")&gt;0,1,0))</x:f>
        <x:v>0</x:v>
      </x:c>
      <x:c r="E101" s="1" t="str">
        <x:f>IF(AND(A101="",B101=""),"",IF(C101=1,"Linked","Check IDs / duplicate"))</x:f>
      </x:c>
    </x:row>
    <x:row r="102" ht="27" customHeight="1">
      <x:c r="A102" s="8"/>
      <x:c r="B102" s="8"/>
      <x:c r="C102" s="1" t="n">
        <x:f>IF(OR(A102="",B102=""),0,IF(AND(COUNTIFS($A$5:$A$12,A102)=1,COUNTIFS('Test Cases'!$A$5:$A$84,B102)=1,COUNTIFS($A$21:A102,A102,$B$21:B102,B102)=1),1,0))</x:f>
        <x:v>0</x:v>
      </x:c>
      <x:c r="D102" s="1" t="n">
        <x:f>IF(C102=0,0,IF(COUNTIFS(Executions!$B$5:$B$84,B102,Executions!$G$5:$G$84,"PASS")+COUNTIFS(Executions!$B$5:$B$84,B102,Executions!$G$5:$G$84,"FAIL")&gt;0,1,0))</x:f>
        <x:v>0</x:v>
      </x:c>
      <x:c r="E102" s="1" t="str">
        <x:f>IF(AND(A102="",B102=""),"",IF(C102=1,"Linked","Check IDs / duplicate"))</x:f>
      </x:c>
    </x:row>
    <x:row r="103" ht="27" customHeight="1">
      <x:c r="A103" s="8"/>
      <x:c r="B103" s="8"/>
      <x:c r="C103" s="1" t="n">
        <x:f>IF(OR(A103="",B103=""),0,IF(AND(COUNTIFS($A$5:$A$12,A103)=1,COUNTIFS('Test Cases'!$A$5:$A$84,B103)=1,COUNTIFS($A$21:A103,A103,$B$21:B103,B103)=1),1,0))</x:f>
        <x:v>0</x:v>
      </x:c>
      <x:c r="D103" s="1" t="n">
        <x:f>IF(C103=0,0,IF(COUNTIFS(Executions!$B$5:$B$84,B103,Executions!$G$5:$G$84,"PASS")+COUNTIFS(Executions!$B$5:$B$84,B103,Executions!$G$5:$G$84,"FAIL")&gt;0,1,0))</x:f>
        <x:v>0</x:v>
      </x:c>
      <x:c r="E103" s="1" t="str">
        <x:f>IF(AND(A103="",B103=""),"",IF(C103=1,"Linked","Check IDs / duplicate"))</x:f>
      </x:c>
    </x:row>
    <x:row r="104" ht="27" customHeight="1">
      <x:c r="A104" s="8"/>
      <x:c r="B104" s="8"/>
      <x:c r="C104" s="1" t="n">
        <x:f>IF(OR(A104="",B104=""),0,IF(AND(COUNTIFS($A$5:$A$12,A104)=1,COUNTIFS('Test Cases'!$A$5:$A$84,B104)=1,COUNTIFS($A$21:A104,A104,$B$21:B104,B104)=1),1,0))</x:f>
        <x:v>0</x:v>
      </x:c>
      <x:c r="D104" s="1" t="n">
        <x:f>IF(C104=0,0,IF(COUNTIFS(Executions!$B$5:$B$84,B104,Executions!$G$5:$G$84,"PASS")+COUNTIFS(Executions!$B$5:$B$84,B104,Executions!$G$5:$G$84,"FAIL")&gt;0,1,0))</x:f>
        <x:v>0</x:v>
      </x:c>
      <x:c r="E104" s="1" t="str">
        <x:f>IF(AND(A104="",B104=""),"",IF(C104=1,"Linked","Check IDs / duplicate"))</x:f>
      </x:c>
    </x:row>
    <x:row r="105" ht="27" customHeight="1">
      <x:c r="A105" s="8"/>
      <x:c r="B105" s="8"/>
      <x:c r="C105" s="1" t="n">
        <x:f>IF(OR(A105="",B105=""),0,IF(AND(COUNTIFS($A$5:$A$12,A105)=1,COUNTIFS('Test Cases'!$A$5:$A$84,B105)=1,COUNTIFS($A$21:A105,A105,$B$21:B105,B105)=1),1,0))</x:f>
        <x:v>0</x:v>
      </x:c>
      <x:c r="D105" s="1" t="n">
        <x:f>IF(C105=0,0,IF(COUNTIFS(Executions!$B$5:$B$84,B105,Executions!$G$5:$G$84,"PASS")+COUNTIFS(Executions!$B$5:$B$84,B105,Executions!$G$5:$G$84,"FAIL")&gt;0,1,0))</x:f>
        <x:v>0</x:v>
      </x:c>
      <x:c r="E105" s="1" t="str">
        <x:f>IF(AND(A105="",B105=""),"",IF(C105=1,"Linked","Check IDs / duplicate"))</x:f>
      </x:c>
    </x:row>
    <x:row r="106" ht="27" customHeight="1">
      <x:c r="A106" s="8"/>
      <x:c r="B106" s="8"/>
      <x:c r="C106" s="1" t="n">
        <x:f>IF(OR(A106="",B106=""),0,IF(AND(COUNTIFS($A$5:$A$12,A106)=1,COUNTIFS('Test Cases'!$A$5:$A$84,B106)=1,COUNTIFS($A$21:A106,A106,$B$21:B106,B106)=1),1,0))</x:f>
        <x:v>0</x:v>
      </x:c>
      <x:c r="D106" s="1" t="n">
        <x:f>IF(C106=0,0,IF(COUNTIFS(Executions!$B$5:$B$84,B106,Executions!$G$5:$G$84,"PASS")+COUNTIFS(Executions!$B$5:$B$84,B106,Executions!$G$5:$G$84,"FAIL")&gt;0,1,0))</x:f>
        <x:v>0</x:v>
      </x:c>
      <x:c r="E106" s="1" t="str">
        <x:f>IF(AND(A106="",B106=""),"",IF(C106=1,"Linked","Check IDs / duplicate"))</x:f>
      </x:c>
    </x:row>
    <x:row r="107" ht="27" customHeight="1">
      <x:c r="A107" s="8"/>
      <x:c r="B107" s="8"/>
      <x:c r="C107" s="1" t="n">
        <x:f>IF(OR(A107="",B107=""),0,IF(AND(COUNTIFS($A$5:$A$12,A107)=1,COUNTIFS('Test Cases'!$A$5:$A$84,B107)=1,COUNTIFS($A$21:A107,A107,$B$21:B107,B107)=1),1,0))</x:f>
        <x:v>0</x:v>
      </x:c>
      <x:c r="D107" s="1" t="n">
        <x:f>IF(C107=0,0,IF(COUNTIFS(Executions!$B$5:$B$84,B107,Executions!$G$5:$G$84,"PASS")+COUNTIFS(Executions!$B$5:$B$84,B107,Executions!$G$5:$G$84,"FAIL")&gt;0,1,0))</x:f>
        <x:v>0</x:v>
      </x:c>
      <x:c r="E107" s="1" t="str">
        <x:f>IF(AND(A107="",B107=""),"",IF(C107=1,"Linked","Check IDs / duplicate"))</x:f>
      </x:c>
    </x:row>
    <x:row r="108" ht="27" customHeight="1">
      <x:c r="A108" s="8"/>
      <x:c r="B108" s="8"/>
      <x:c r="C108" s="1" t="n">
        <x:f>IF(OR(A108="",B108=""),0,IF(AND(COUNTIFS($A$5:$A$12,A108)=1,COUNTIFS('Test Cases'!$A$5:$A$84,B108)=1,COUNTIFS($A$21:A108,A108,$B$21:B108,B108)=1),1,0))</x:f>
        <x:v>0</x:v>
      </x:c>
      <x:c r="D108" s="1" t="n">
        <x:f>IF(C108=0,0,IF(COUNTIFS(Executions!$B$5:$B$84,B108,Executions!$G$5:$G$84,"PASS")+COUNTIFS(Executions!$B$5:$B$84,B108,Executions!$G$5:$G$84,"FAIL")&gt;0,1,0))</x:f>
        <x:v>0</x:v>
      </x:c>
      <x:c r="E108" s="1" t="str">
        <x:f>IF(AND(A108="",B108=""),"",IF(C108=1,"Linked","Check IDs / duplicate"))</x:f>
      </x:c>
    </x:row>
    <x:row r="109" ht="27" customHeight="1">
      <x:c r="A109" s="8"/>
      <x:c r="B109" s="8"/>
      <x:c r="C109" s="1" t="n">
        <x:f>IF(OR(A109="",B109=""),0,IF(AND(COUNTIFS($A$5:$A$12,A109)=1,COUNTIFS('Test Cases'!$A$5:$A$84,B109)=1,COUNTIFS($A$21:A109,A109,$B$21:B109,B109)=1),1,0))</x:f>
        <x:v>0</x:v>
      </x:c>
      <x:c r="D109" s="1" t="n">
        <x:f>IF(C109=0,0,IF(COUNTIFS(Executions!$B$5:$B$84,B109,Executions!$G$5:$G$84,"PASS")+COUNTIFS(Executions!$B$5:$B$84,B109,Executions!$G$5:$G$84,"FAIL")&gt;0,1,0))</x:f>
        <x:v>0</x:v>
      </x:c>
      <x:c r="E109" s="1" t="str">
        <x:f>IF(AND(A109="",B109=""),"",IF(C109=1,"Linked","Check IDs / duplicate"))</x:f>
      </x:c>
    </x:row>
    <x:row r="110" ht="27" customHeight="1">
      <x:c r="A110" s="8"/>
      <x:c r="B110" s="8"/>
      <x:c r="C110" s="1" t="n">
        <x:f>IF(OR(A110="",B110=""),0,IF(AND(COUNTIFS($A$5:$A$12,A110)=1,COUNTIFS('Test Cases'!$A$5:$A$84,B110)=1,COUNTIFS($A$21:A110,A110,$B$21:B110,B110)=1),1,0))</x:f>
        <x:v>0</x:v>
      </x:c>
      <x:c r="D110" s="1" t="n">
        <x:f>IF(C110=0,0,IF(COUNTIFS(Executions!$B$5:$B$84,B110,Executions!$G$5:$G$84,"PASS")+COUNTIFS(Executions!$B$5:$B$84,B110,Executions!$G$5:$G$84,"FAIL")&gt;0,1,0))</x:f>
        <x:v>0</x:v>
      </x:c>
      <x:c r="E110" s="1" t="str">
        <x:f>IF(AND(A110="",B110=""),"",IF(C110=1,"Linked","Check IDs / duplicate"))</x:f>
      </x:c>
    </x:row>
    <x:row r="111" ht="27" customHeight="1">
      <x:c r="A111" s="8"/>
      <x:c r="B111" s="8"/>
      <x:c r="C111" s="1" t="n">
        <x:f>IF(OR(A111="",B111=""),0,IF(AND(COUNTIFS($A$5:$A$12,A111)=1,COUNTIFS('Test Cases'!$A$5:$A$84,B111)=1,COUNTIFS($A$21:A111,A111,$B$21:B111,B111)=1),1,0))</x:f>
        <x:v>0</x:v>
      </x:c>
      <x:c r="D111" s="1" t="n">
        <x:f>IF(C111=0,0,IF(COUNTIFS(Executions!$B$5:$B$84,B111,Executions!$G$5:$G$84,"PASS")+COUNTIFS(Executions!$B$5:$B$84,B111,Executions!$G$5:$G$84,"FAIL")&gt;0,1,0))</x:f>
        <x:v>0</x:v>
      </x:c>
      <x:c r="E111" s="1" t="str">
        <x:f>IF(AND(A111="",B111=""),"",IF(C111=1,"Linked","Check IDs / duplicate"))</x:f>
      </x:c>
    </x:row>
    <x:row r="112" ht="27" customHeight="1">
      <x:c r="A112" s="8"/>
      <x:c r="B112" s="8"/>
      <x:c r="C112" s="1" t="n">
        <x:f>IF(OR(A112="",B112=""),0,IF(AND(COUNTIFS($A$5:$A$12,A112)=1,COUNTIFS('Test Cases'!$A$5:$A$84,B112)=1,COUNTIFS($A$21:A112,A112,$B$21:B112,B112)=1),1,0))</x:f>
        <x:v>0</x:v>
      </x:c>
      <x:c r="D112" s="1" t="n">
        <x:f>IF(C112=0,0,IF(COUNTIFS(Executions!$B$5:$B$84,B112,Executions!$G$5:$G$84,"PASS")+COUNTIFS(Executions!$B$5:$B$84,B112,Executions!$G$5:$G$84,"FAIL")&gt;0,1,0))</x:f>
        <x:v>0</x:v>
      </x:c>
      <x:c r="E112" s="1" t="str">
        <x:f>IF(AND(A112="",B112=""),"",IF(C112=1,"Linked","Check IDs / duplicate"))</x:f>
      </x:c>
    </x:row>
    <x:row r="113" ht="27" customHeight="1">
      <x:c r="A113" s="8"/>
      <x:c r="B113" s="8"/>
      <x:c r="C113" s="1" t="n">
        <x:f>IF(OR(A113="",B113=""),0,IF(AND(COUNTIFS($A$5:$A$12,A113)=1,COUNTIFS('Test Cases'!$A$5:$A$84,B113)=1,COUNTIFS($A$21:A113,A113,$B$21:B113,B113)=1),1,0))</x:f>
        <x:v>0</x:v>
      </x:c>
      <x:c r="D113" s="1" t="n">
        <x:f>IF(C113=0,0,IF(COUNTIFS(Executions!$B$5:$B$84,B113,Executions!$G$5:$G$84,"PASS")+COUNTIFS(Executions!$B$5:$B$84,B113,Executions!$G$5:$G$84,"FAIL")&gt;0,1,0))</x:f>
        <x:v>0</x:v>
      </x:c>
      <x:c r="E113" s="1" t="str">
        <x:f>IF(AND(A113="",B113=""),"",IF(C113=1,"Linked","Check IDs / duplicate"))</x:f>
      </x:c>
    </x:row>
    <x:row r="114" ht="27" customHeight="1">
      <x:c r="A114" s="8"/>
      <x:c r="B114" s="8"/>
      <x:c r="C114" s="1" t="n">
        <x:f>IF(OR(A114="",B114=""),0,IF(AND(COUNTIFS($A$5:$A$12,A114)=1,COUNTIFS('Test Cases'!$A$5:$A$84,B114)=1,COUNTIFS($A$21:A114,A114,$B$21:B114,B114)=1),1,0))</x:f>
        <x:v>0</x:v>
      </x:c>
      <x:c r="D114" s="1" t="n">
        <x:f>IF(C114=0,0,IF(COUNTIFS(Executions!$B$5:$B$84,B114,Executions!$G$5:$G$84,"PASS")+COUNTIFS(Executions!$B$5:$B$84,B114,Executions!$G$5:$G$84,"FAIL")&gt;0,1,0))</x:f>
        <x:v>0</x:v>
      </x:c>
      <x:c r="E114" s="1" t="str">
        <x:f>IF(AND(A114="",B114=""),"",IF(C114=1,"Linked","Check IDs / duplicate"))</x:f>
      </x:c>
    </x:row>
    <x:row r="115" ht="27" customHeight="1">
      <x:c r="A115" s="8"/>
      <x:c r="B115" s="8"/>
      <x:c r="C115" s="1" t="n">
        <x:f>IF(OR(A115="",B115=""),0,IF(AND(COUNTIFS($A$5:$A$12,A115)=1,COUNTIFS('Test Cases'!$A$5:$A$84,B115)=1,COUNTIFS($A$21:A115,A115,$B$21:B115,B115)=1),1,0))</x:f>
        <x:v>0</x:v>
      </x:c>
      <x:c r="D115" s="1" t="n">
        <x:f>IF(C115=0,0,IF(COUNTIFS(Executions!$B$5:$B$84,B115,Executions!$G$5:$G$84,"PASS")+COUNTIFS(Executions!$B$5:$B$84,B115,Executions!$G$5:$G$84,"FAIL")&gt;0,1,0))</x:f>
        <x:v>0</x:v>
      </x:c>
      <x:c r="E115" s="1" t="str">
        <x:f>IF(AND(A115="",B115=""),"",IF(C115=1,"Linked","Check IDs / duplicate"))</x:f>
      </x:c>
    </x:row>
    <x:row r="116" ht="27" customHeight="1">
      <x:c r="A116" s="8"/>
      <x:c r="B116" s="8"/>
      <x:c r="C116" s="1" t="n">
        <x:f>IF(OR(A116="",B116=""),0,IF(AND(COUNTIFS($A$5:$A$12,A116)=1,COUNTIFS('Test Cases'!$A$5:$A$84,B116)=1,COUNTIFS($A$21:A116,A116,$B$21:B116,B116)=1),1,0))</x:f>
        <x:v>0</x:v>
      </x:c>
      <x:c r="D116" s="1" t="n">
        <x:f>IF(C116=0,0,IF(COUNTIFS(Executions!$B$5:$B$84,B116,Executions!$G$5:$G$84,"PASS")+COUNTIFS(Executions!$B$5:$B$84,B116,Executions!$G$5:$G$84,"FAIL")&gt;0,1,0))</x:f>
        <x:v>0</x:v>
      </x:c>
      <x:c r="E116" s="1" t="str">
        <x:f>IF(AND(A116="",B116=""),"",IF(C116=1,"Linked","Check IDs / duplicate"))</x:f>
      </x:c>
    </x:row>
    <x:row r="117" ht="27" customHeight="1">
      <x:c r="A117" s="8"/>
      <x:c r="B117" s="8"/>
      <x:c r="C117" s="1" t="n">
        <x:f>IF(OR(A117="",B117=""),0,IF(AND(COUNTIFS($A$5:$A$12,A117)=1,COUNTIFS('Test Cases'!$A$5:$A$84,B117)=1,COUNTIFS($A$21:A117,A117,$B$21:B117,B117)=1),1,0))</x:f>
        <x:v>0</x:v>
      </x:c>
      <x:c r="D117" s="1" t="n">
        <x:f>IF(C117=0,0,IF(COUNTIFS(Executions!$B$5:$B$84,B117,Executions!$G$5:$G$84,"PASS")+COUNTIFS(Executions!$B$5:$B$84,B117,Executions!$G$5:$G$84,"FAIL")&gt;0,1,0))</x:f>
        <x:v>0</x:v>
      </x:c>
      <x:c r="E117" s="1" t="str">
        <x:f>IF(AND(A117="",B117=""),"",IF(C117=1,"Linked","Check IDs / duplicate"))</x:f>
      </x:c>
    </x:row>
    <x:row r="118" ht="27" customHeight="1">
      <x:c r="A118" s="8"/>
      <x:c r="B118" s="8"/>
      <x:c r="C118" s="1" t="n">
        <x:f>IF(OR(A118="",B118=""),0,IF(AND(COUNTIFS($A$5:$A$12,A118)=1,COUNTIFS('Test Cases'!$A$5:$A$84,B118)=1,COUNTIFS($A$21:A118,A118,$B$21:B118,B118)=1),1,0))</x:f>
        <x:v>0</x:v>
      </x:c>
      <x:c r="D118" s="1" t="n">
        <x:f>IF(C118=0,0,IF(COUNTIFS(Executions!$B$5:$B$84,B118,Executions!$G$5:$G$84,"PASS")+COUNTIFS(Executions!$B$5:$B$84,B118,Executions!$G$5:$G$84,"FAIL")&gt;0,1,0))</x:f>
        <x:v>0</x:v>
      </x:c>
      <x:c r="E118" s="1" t="str">
        <x:f>IF(AND(A118="",B118=""),"",IF(C118=1,"Linked","Check IDs / duplicate"))</x:f>
      </x:c>
    </x:row>
    <x:row r="119" ht="27" customHeight="1">
      <x:c r="A119" s="8"/>
      <x:c r="B119" s="8"/>
      <x:c r="C119" s="1" t="n">
        <x:f>IF(OR(A119="",B119=""),0,IF(AND(COUNTIFS($A$5:$A$12,A119)=1,COUNTIFS('Test Cases'!$A$5:$A$84,B119)=1,COUNTIFS($A$21:A119,A119,$B$21:B119,B119)=1),1,0))</x:f>
        <x:v>0</x:v>
      </x:c>
      <x:c r="D119" s="1" t="n">
        <x:f>IF(C119=0,0,IF(COUNTIFS(Executions!$B$5:$B$84,B119,Executions!$G$5:$G$84,"PASS")+COUNTIFS(Executions!$B$5:$B$84,B119,Executions!$G$5:$G$84,"FAIL")&gt;0,1,0))</x:f>
        <x:v>0</x:v>
      </x:c>
      <x:c r="E119" s="1" t="str">
        <x:f>IF(AND(A119="",B119=""),"",IF(C119=1,"Linked","Check IDs / duplicate"))</x:f>
      </x:c>
    </x:row>
    <x:row r="120" ht="27" customHeight="1">
      <x:c r="A120" s="8"/>
      <x:c r="B120" s="8"/>
      <x:c r="C120" s="1" t="n">
        <x:f>IF(OR(A120="",B120=""),0,IF(AND(COUNTIFS($A$5:$A$12,A120)=1,COUNTIFS('Test Cases'!$A$5:$A$84,B120)=1,COUNTIFS($A$21:A120,A120,$B$21:B120,B120)=1),1,0))</x:f>
        <x:v>0</x:v>
      </x:c>
      <x:c r="D120" s="1" t="n">
        <x:f>IF(C120=0,0,IF(COUNTIFS(Executions!$B$5:$B$84,B120,Executions!$G$5:$G$84,"PASS")+COUNTIFS(Executions!$B$5:$B$84,B120,Executions!$G$5:$G$84,"FAIL")&gt;0,1,0))</x:f>
        <x:v>0</x:v>
      </x:c>
      <x:c r="E120" s="1" t="str">
        <x:f>IF(AND(A120="",B120=""),"",IF(C120=1,"Linked","Check IDs / duplicate"))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>
      <x:c r="A1" s="2" t="str">
        <x:v>Technique — T08</x:v>
      </x:c>
      <x:c r="B1" s="1"/>
      <x:c r="C1" s="1"/>
      <x:c r="D1" s="1"/>
      <x:c r="E1" s="1"/>
      <x:c r="F1" s="1"/>
      <x:c r="G1" s="1"/>
      <x:c r="H1" s="1"/>
    </x:row>
    <x:row r="2">
      <x:c r="A2" s="3" t="str">
        <x:v>Critical comparison of human and AI test designs — See assignment for required topic-specific analysis.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45" customHeight="1">
      <x:c r="A4" s="7" t="str">
        <x:v>Candidate ID / origin</x:v>
      </x:c>
      <x:c r="B4" s="7" t="str">
        <x:v>Rule / boundary</x:v>
      </x:c>
      <x:c r="C4" s="7" t="str">
        <x:v>Original expectation</x:v>
      </x:c>
      <x:c r="D4" s="7" t="str">
        <x:v>Independent oracle</x:v>
      </x:c>
      <x:c r="E4" s="7" t="str">
        <x:v>Accept / revise / reject</x:v>
      </x:c>
      <x:c r="F4" s="7" t="str">
        <x:v>Reason / duplicate</x:v>
      </x:c>
      <x:c r="G4" s="7" t="str">
        <x:v>Final test IDs</x:v>
      </x:c>
      <x:c r="H4" s="7" t="str">
        <x:v>Comparison evidence</x:v>
      </x:c>
    </x:row>
    <x:row r="5" ht="60" customHeight="1">
      <x:c r="A5" s="10"/>
      <x:c r="B5" s="10"/>
      <x:c r="C5" s="10"/>
      <x:c r="D5" s="10"/>
      <x:c r="E5" s="10"/>
      <x:c r="F5" s="10"/>
      <x:c r="G5" s="10"/>
      <x:c r="H5" s="10"/>
    </x:row>
    <x:row r="6" ht="60" customHeight="1">
      <x:c r="A6" s="10"/>
      <x:c r="B6" s="10"/>
      <x:c r="C6" s="10"/>
      <x:c r="D6" s="10"/>
      <x:c r="E6" s="10"/>
      <x:c r="F6" s="10"/>
      <x:c r="G6" s="10"/>
      <x:c r="H6" s="10"/>
    </x:row>
    <x:row r="7" ht="60" customHeight="1">
      <x:c r="A7" s="10"/>
      <x:c r="B7" s="10"/>
      <x:c r="C7" s="10"/>
      <x:c r="D7" s="10"/>
      <x:c r="E7" s="10"/>
      <x:c r="F7" s="10"/>
      <x:c r="G7" s="10"/>
      <x:c r="H7" s="10"/>
    </x:row>
    <x:row r="8" ht="60" customHeight="1">
      <x:c r="A8" s="10"/>
      <x:c r="B8" s="10"/>
      <x:c r="C8" s="10"/>
      <x:c r="D8" s="10"/>
      <x:c r="E8" s="10"/>
      <x:c r="F8" s="10"/>
      <x:c r="G8" s="10"/>
      <x:c r="H8" s="10"/>
    </x:row>
    <x:row r="9" ht="60" customHeight="1">
      <x:c r="A9" s="10"/>
      <x:c r="B9" s="10"/>
      <x:c r="C9" s="10"/>
      <x:c r="D9" s="10"/>
      <x:c r="E9" s="10"/>
      <x:c r="F9" s="10"/>
      <x:c r="G9" s="10"/>
      <x:c r="H9" s="10"/>
    </x:row>
    <x:row r="10" ht="60" customHeight="1">
      <x:c r="A10" s="10"/>
      <x:c r="B10" s="10"/>
      <x:c r="C10" s="10"/>
      <x:c r="D10" s="10"/>
      <x:c r="E10" s="10"/>
      <x:c r="F10" s="10"/>
      <x:c r="G10" s="10"/>
      <x:c r="H10" s="10"/>
    </x:row>
    <x:row r="11" ht="60" customHeight="1">
      <x:c r="A11" s="10"/>
      <x:c r="B11" s="10"/>
      <x:c r="C11" s="10"/>
      <x:c r="D11" s="10"/>
      <x:c r="E11" s="10"/>
      <x:c r="F11" s="10"/>
      <x:c r="G11" s="10"/>
      <x:c r="H11" s="10"/>
    </x:row>
    <x:row r="12" ht="60" customHeight="1">
      <x:c r="A12" s="10"/>
      <x:c r="B12" s="10"/>
      <x:c r="C12" s="10"/>
      <x:c r="D12" s="10"/>
      <x:c r="E12" s="10"/>
      <x:c r="F12" s="10"/>
      <x:c r="G12" s="10"/>
      <x:c r="H12" s="10"/>
    </x:row>
    <x:row r="13" ht="60" customHeight="1">
      <x:c r="A13" s="10"/>
      <x:c r="B13" s="10"/>
      <x:c r="C13" s="10"/>
      <x:c r="D13" s="10"/>
      <x:c r="E13" s="10"/>
      <x:c r="F13" s="10"/>
      <x:c r="G13" s="10"/>
      <x:c r="H13" s="10"/>
    </x:row>
    <x:row r="14" ht="60" customHeight="1">
      <x:c r="A14" s="10"/>
      <x:c r="B14" s="10"/>
      <x:c r="C14" s="10"/>
      <x:c r="D14" s="10"/>
      <x:c r="E14" s="10"/>
      <x:c r="F14" s="10"/>
      <x:c r="G14" s="10"/>
      <x:c r="H14" s="10"/>
    </x:row>
    <x:row r="15" ht="60" customHeight="1">
      <x:c r="A15" s="10"/>
      <x:c r="B15" s="10"/>
      <x:c r="C15" s="10"/>
      <x:c r="D15" s="10"/>
      <x:c r="E15" s="10"/>
      <x:c r="F15" s="10"/>
      <x:c r="G15" s="10"/>
      <x:c r="H15" s="10"/>
    </x:row>
    <x:row r="16" ht="60" customHeight="1">
      <x:c r="A16" s="10"/>
      <x:c r="B16" s="10"/>
      <x:c r="C16" s="10"/>
      <x:c r="D16" s="10"/>
      <x:c r="E16" s="10"/>
      <x:c r="F16" s="10"/>
      <x:c r="G16" s="10"/>
      <x:c r="H16" s="10"/>
    </x:row>
    <x:row r="17" ht="60" customHeight="1">
      <x:c r="A17" s="10"/>
      <x:c r="B17" s="10"/>
      <x:c r="C17" s="10"/>
      <x:c r="D17" s="10"/>
      <x:c r="E17" s="10"/>
      <x:c r="F17" s="10"/>
      <x:c r="G17" s="10"/>
      <x:c r="H17" s="10"/>
    </x:row>
    <x:row r="18" ht="60" customHeight="1">
      <x:c r="A18" s="10"/>
      <x:c r="B18" s="10"/>
      <x:c r="C18" s="10"/>
      <x:c r="D18" s="10"/>
      <x:c r="E18" s="10"/>
      <x:c r="F18" s="10"/>
      <x:c r="G18" s="10"/>
      <x:c r="H18" s="10"/>
    </x:row>
    <x:row r="19" ht="6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60" customHeight="1">
      <x:c r="A20" s="10"/>
      <x:c r="B20" s="10"/>
      <x:c r="C20" s="10"/>
      <x:c r="D20" s="10"/>
      <x:c r="E20" s="10"/>
      <x:c r="F20" s="10"/>
      <x:c r="G20" s="10"/>
      <x:c r="H20" s="10"/>
    </x:row>
    <x:row r="21" ht="60" customHeight="1">
      <x:c r="A21" s="10"/>
      <x:c r="B21" s="10"/>
      <x:c r="C21" s="10"/>
      <x:c r="D21" s="10"/>
      <x:c r="E21" s="10"/>
      <x:c r="F21" s="10"/>
      <x:c r="G21" s="10"/>
      <x:c r="H21" s="10"/>
    </x:row>
    <x:row r="22" ht="60" customHeight="1">
      <x:c r="A22" s="10"/>
      <x:c r="B22" s="10"/>
      <x:c r="C22" s="10"/>
      <x:c r="D22" s="10"/>
      <x:c r="E22" s="10"/>
      <x:c r="F22" s="10"/>
      <x:c r="G22" s="10"/>
      <x:c r="H22" s="10"/>
    </x:row>
    <x:row r="23" ht="60" customHeight="1">
      <x:c r="A23" s="10"/>
      <x:c r="B23" s="10"/>
      <x:c r="C23" s="10"/>
      <x:c r="D23" s="10"/>
      <x:c r="E23" s="10"/>
      <x:c r="F23" s="10"/>
      <x:c r="G23" s="10"/>
      <x:c r="H23" s="10"/>
    </x:row>
    <x:row r="24" ht="60" customHeight="1">
      <x:c r="A24" s="10"/>
      <x:c r="B24" s="10"/>
      <x:c r="C24" s="10"/>
      <x:c r="D24" s="10"/>
      <x:c r="E24" s="10"/>
      <x:c r="F24" s="10"/>
      <x:c r="G24" s="10"/>
      <x:c r="H24" s="10"/>
    </x:row>
    <x:row r="25" ht="60" customHeight="1">
      <x:c r="A25" s="10"/>
      <x:c r="B25" s="10"/>
      <x:c r="C25" s="10"/>
      <x:c r="D25" s="10"/>
      <x:c r="E25" s="10"/>
      <x:c r="F25" s="10"/>
      <x:c r="G25" s="10"/>
      <x:c r="H25" s="10"/>
    </x:row>
    <x:row r="26" ht="60" customHeight="1">
      <x:c r="A26" s="10"/>
      <x:c r="B26" s="10"/>
      <x:c r="C26" s="10"/>
      <x:c r="D26" s="10"/>
      <x:c r="E26" s="10"/>
      <x:c r="F26" s="10"/>
      <x:c r="G26" s="10"/>
      <x:c r="H26" s="10"/>
    </x:row>
    <x:row r="27" ht="6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60" customHeight="1">
      <x:c r="A28" s="10"/>
      <x:c r="B28" s="10"/>
      <x:c r="C28" s="10"/>
      <x:c r="D28" s="10"/>
      <x:c r="E28" s="10"/>
      <x:c r="F28" s="10"/>
      <x:c r="G28" s="10"/>
      <x:c r="H28" s="10"/>
    </x:row>
    <x:row r="29" ht="60" customHeight="1">
      <x:c r="A29" s="10"/>
      <x:c r="B29" s="10"/>
      <x:c r="C29" s="10"/>
      <x:c r="D29" s="10"/>
      <x:c r="E29" s="10"/>
      <x:c r="F29" s="10"/>
      <x:c r="G29" s="10"/>
      <x:c r="H29" s="10"/>
    </x:row>
    <x:row r="30" ht="60" customHeight="1">
      <x:c r="A30" s="10"/>
      <x:c r="B30" s="10"/>
      <x:c r="C30" s="10"/>
      <x:c r="D30" s="10"/>
      <x:c r="E30" s="10"/>
      <x:c r="F30" s="10"/>
      <x:c r="G30" s="10"/>
      <x:c r="H30" s="10"/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</x:row>
  </x:sheetData>
  <x:pageMargins left="0.7" right="0.7" top="0.75" bottom="0.75" header="0.3" footer="0.3"/>
  <x:tableParts count="1">
    <x:tablePart xmlns:r="http://schemas.openxmlformats.org/officeDocument/2006/relationships" r:id="R5be5c942a538406b"/>
  </x:tableParts>
</x:worksheet>
</file>